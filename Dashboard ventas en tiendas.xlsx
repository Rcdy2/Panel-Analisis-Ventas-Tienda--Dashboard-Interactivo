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 disco d\DASHBOARDS FINALES EXCEL\"/>
    </mc:Choice>
  </mc:AlternateContent>
  <xr:revisionPtr revIDLastSave="0" documentId="13_ncr:1_{3B10AF3D-8981-4BF7-8008-FE89A7AF506D}" xr6:coauthVersionLast="47" xr6:coauthVersionMax="47" xr10:uidLastSave="{00000000-0000-0000-0000-000000000000}"/>
  <bookViews>
    <workbookView xWindow="-120" yWindow="-120" windowWidth="29040" windowHeight="15840" xr2:uid="{1F33B250-434F-44BA-9E38-B2ADB3CFA944}"/>
  </bookViews>
  <sheets>
    <sheet name="DASHBOARD" sheetId="3" r:id="rId1"/>
    <sheet name="analisis" sheetId="1" r:id="rId2"/>
    <sheet name="DB" sheetId="2" r:id="rId3"/>
  </sheets>
  <definedNames>
    <definedName name="NativeTimeline_Fecha">#N/A</definedName>
    <definedName name="SegmentaciónDeDatos_Categoría_de_Producto">#N/A</definedName>
    <definedName name="SegmentaciónDeDatos_Fecha">#N/A</definedName>
    <definedName name="SegmentaciónDeDatos_Tienda">#N/A</definedName>
    <definedName name="SegmentaciónDeDatos_Vendedor">#N/A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1" i="2" l="1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B60" i="1"/>
</calcChain>
</file>

<file path=xl/sharedStrings.xml><?xml version="1.0" encoding="utf-8"?>
<sst xmlns="http://schemas.openxmlformats.org/spreadsheetml/2006/main" count="2042" uniqueCount="67">
  <si>
    <t>Fecha</t>
  </si>
  <si>
    <t>Tienda</t>
  </si>
  <si>
    <t>Categoría de Producto</t>
  </si>
  <si>
    <t>Vendedor</t>
  </si>
  <si>
    <t>Producto</t>
  </si>
  <si>
    <t>Cantidad</t>
  </si>
  <si>
    <t>Precio</t>
  </si>
  <si>
    <t>Total</t>
  </si>
  <si>
    <t>Tienda B</t>
  </si>
  <si>
    <t>Juguetes</t>
  </si>
  <si>
    <t>Lucía</t>
  </si>
  <si>
    <t>Puzzle 1000 piezas</t>
  </si>
  <si>
    <t>Tienda E</t>
  </si>
  <si>
    <t>Hogar</t>
  </si>
  <si>
    <t>María</t>
  </si>
  <si>
    <t>Cafetera Delonghi</t>
  </si>
  <si>
    <t>Tienda C</t>
  </si>
  <si>
    <t>Ropa</t>
  </si>
  <si>
    <t>Pantalón Levi's</t>
  </si>
  <si>
    <t>Tienda D</t>
  </si>
  <si>
    <t>Electrónica</t>
  </si>
  <si>
    <t>Ana</t>
  </si>
  <si>
    <t>Smartphone Samsung</t>
  </si>
  <si>
    <t>Ventilador Imaco</t>
  </si>
  <si>
    <t>José</t>
  </si>
  <si>
    <t>Polo Adidas</t>
  </si>
  <si>
    <t>Casaca Puma</t>
  </si>
  <si>
    <t>Tienda A</t>
  </si>
  <si>
    <t>Smartwatch Apple</t>
  </si>
  <si>
    <t>Deportes</t>
  </si>
  <si>
    <t>Guantes Everlast</t>
  </si>
  <si>
    <t>Luis</t>
  </si>
  <si>
    <t>Lego Star Wars</t>
  </si>
  <si>
    <t>Drone para niños</t>
  </si>
  <si>
    <t>Belleza</t>
  </si>
  <si>
    <t>Crema Nivea</t>
  </si>
  <si>
    <t>Balón Adidas</t>
  </si>
  <si>
    <t>Plancha Philips</t>
  </si>
  <si>
    <t>Perfume Dior</t>
  </si>
  <si>
    <t>Auriculares Sony</t>
  </si>
  <si>
    <t>Licuadora Oster</t>
  </si>
  <si>
    <t>Rosa</t>
  </si>
  <si>
    <t>Auto Hot Wheels</t>
  </si>
  <si>
    <t>Pedro</t>
  </si>
  <si>
    <t>Secadora Philips</t>
  </si>
  <si>
    <t>Cuerda para saltar</t>
  </si>
  <si>
    <t>Carlos</t>
  </si>
  <si>
    <t>Maquillaje Maybelline</t>
  </si>
  <si>
    <t>Camisa Lacoste</t>
  </si>
  <si>
    <t>Zapatillas Nike</t>
  </si>
  <si>
    <t>Bicicleta Trek</t>
  </si>
  <si>
    <t>Microondas LG</t>
  </si>
  <si>
    <t>Tablet Lenovo</t>
  </si>
  <si>
    <t>Laptop HP</t>
  </si>
  <si>
    <t>Raqueta Wilson</t>
  </si>
  <si>
    <t>Plancha de cabello Remington</t>
  </si>
  <si>
    <t>Muñeca Barbie</t>
  </si>
  <si>
    <t>Etiquetas de fila</t>
  </si>
  <si>
    <t>Total general</t>
  </si>
  <si>
    <t>Suma de Cantidad</t>
  </si>
  <si>
    <t>Suma de Total</t>
  </si>
  <si>
    <t>5 productos mas vendidos</t>
  </si>
  <si>
    <t>5 productos menos vendidos</t>
  </si>
  <si>
    <t>unidades vendidas por tienda</t>
  </si>
  <si>
    <t>total de ventas por tienda</t>
  </si>
  <si>
    <t>Ventas totales</t>
  </si>
  <si>
    <t>total de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</si>
</sst>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S/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NumberFormat="1"/>
  </cellXfs>
  <cellStyles count="2">
    <cellStyle name="Normal" xfId="0" builtinId="0"/>
    <cellStyle name="Porcentaje" xfId="1" builtinId="5"/>
  </cellStyles>
  <dxfs count="9">
    <dxf>
      <numFmt numFmtId="164" formatCode="&quot;S/&quot;\ #,##0.00"/>
    </dxf>
    <dxf>
      <font>
        <sz val="9"/>
        <color rgb="FF8B257F"/>
      </font>
      <fill>
        <patternFill patternType="solid">
          <fgColor rgb="FFDBBFE7"/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rgb="FF8B257F"/>
      </font>
      <fill>
        <patternFill patternType="solid">
          <fgColor rgb="FFDBBFE7"/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numFmt numFmtId="164" formatCode="&quot;S/&quot;\ #,##0.00"/>
    </dxf>
    <dxf>
      <numFmt numFmtId="164" formatCode="&quot;S/&quot;\ #,##0.00"/>
    </dxf>
    <dxf>
      <numFmt numFmtId="19" formatCode="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SlicerStyleDark5 2" pivot="0" table="0" count="10" xr9:uid="{EB137B69-AE59-49D1-A6FF-1B227EE3EA00}">
      <tableStyleElement type="wholeTable" dxfId="2"/>
      <tableStyleElement type="headerRow" dxfId="1"/>
    </tableStyle>
  </tableStyles>
  <colors>
    <mruColors>
      <color rgb="FF8B257F"/>
      <color rgb="FFBA84AC"/>
      <color rgb="FFC393B6"/>
      <color rgb="FFB173A1"/>
      <color rgb="FFC8B6C7"/>
      <color rgb="FFDBBFE7"/>
      <color rgb="FFF2CEEF"/>
      <color rgb="FFC395D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ventas en tiendas.xlsx]analisis!TablaDinámica1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rgbClr val="8B257F"/>
                </a:solidFill>
              </a:rPr>
              <a:t>Unidades vendidas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40000">
                <a:schemeClr val="accent5">
                  <a:lumMod val="75000"/>
                </a:schemeClr>
              </a:gs>
              <a:gs pos="0">
                <a:srgbClr val="7030A0"/>
              </a:gs>
              <a:gs pos="83000">
                <a:srgbClr val="C395D7"/>
              </a:gs>
              <a:gs pos="100000">
                <a:schemeClr val="accent5">
                  <a:lumMod val="20000"/>
                  <a:lumOff val="8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27291666666666E-2"/>
          <c:y val="0.16041013071895424"/>
          <c:w val="0.87634947916666661"/>
          <c:h val="0.70628856209150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analisis!$C$2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40000">
                  <a:schemeClr val="accent5">
                    <a:lumMod val="75000"/>
                  </a:schemeClr>
                </a:gs>
                <a:gs pos="0">
                  <a:srgbClr val="7030A0"/>
                </a:gs>
                <a:gs pos="83000">
                  <a:srgbClr val="C395D7"/>
                </a:gs>
                <a:gs pos="100000">
                  <a:schemeClr val="accent5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analisis!$B$3:$B$4</c:f>
              <c:strCache>
                <c:ptCount val="1"/>
                <c:pt idx="0">
                  <c:v>Tienda A</c:v>
                </c:pt>
              </c:strCache>
            </c:strRef>
          </c:cat>
          <c:val>
            <c:numRef>
              <c:f>analisis!$C$3:$C$4</c:f>
              <c:numCache>
                <c:formatCode>General</c:formatCode>
                <c:ptCount val="1"/>
                <c:pt idx="0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3-4B37-94A6-A755572654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1242864"/>
        <c:axId val="771239624"/>
      </c:barChart>
      <c:catAx>
        <c:axId val="77124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1239624"/>
        <c:crosses val="autoZero"/>
        <c:auto val="1"/>
        <c:lblAlgn val="ctr"/>
        <c:lblOffset val="100"/>
        <c:noMultiLvlLbl val="0"/>
      </c:catAx>
      <c:valAx>
        <c:axId val="771239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124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C8B6C7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ventas en tiendas.xlsx]analisis!TablaDinámica2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200" b="0" i="0" u="none" strike="noStrike" kern="1200" spc="0" baseline="0">
                <a:solidFill>
                  <a:srgbClr val="8B257F"/>
                </a:solidFill>
                <a:latin typeface="+mn-lt"/>
                <a:ea typeface="+mn-ea"/>
                <a:cs typeface="+mn-cs"/>
              </a:defRPr>
            </a:pPr>
            <a:r>
              <a:rPr lang="es-PE" sz="1200" b="0" i="0" u="none" strike="noStrike" kern="1200" spc="0" baseline="0">
                <a:solidFill>
                  <a:srgbClr val="8B257F"/>
                </a:solidFill>
                <a:latin typeface="+mn-lt"/>
                <a:ea typeface="+mn-ea"/>
                <a:cs typeface="+mn-cs"/>
              </a:rPr>
              <a:t>Ventas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200" b="0" i="0" u="none" strike="noStrike" kern="1200" spc="0" baseline="0">
              <a:solidFill>
                <a:srgbClr val="8B257F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sq">
            <a:solidFill>
              <a:srgbClr val="8B257F"/>
            </a:solidFill>
            <a:bevel/>
          </a:ln>
          <a:effectLst>
            <a:outerShdw blurRad="50800" dist="50800" dir="5400000" algn="ctr" rotWithShape="0">
              <a:srgbClr val="DBBFE7"/>
            </a:outerShdw>
          </a:effectLst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>
              <a:outerShdw blurRad="50800" dist="50800" dir="5400000" algn="ctr" rotWithShape="0">
                <a:srgbClr val="DBBFE7"/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sq">
            <a:solidFill>
              <a:srgbClr val="8B257F"/>
            </a:solidFill>
            <a:bevel/>
          </a:ln>
          <a:effectLst>
            <a:outerShdw blurRad="50800" dist="50800" dir="5400000" algn="ctr" rotWithShape="0">
              <a:srgbClr val="DBBFE7"/>
            </a:outerShdw>
          </a:effectLst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>
              <a:outerShdw blurRad="50800" dist="50800" dir="5400000" algn="ctr" rotWithShape="0">
                <a:srgbClr val="DBBFE7"/>
              </a:outerShdw>
            </a:effectLst>
          </c:spPr>
        </c:marker>
        <c:dLbl>
          <c:idx val="0"/>
          <c:layout>
            <c:manualLayout>
              <c:x val="-5.2916666666666667E-2"/>
              <c:y val="-0.103758169934640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sq">
            <a:solidFill>
              <a:srgbClr val="8B257F"/>
            </a:solidFill>
            <a:bevel/>
          </a:ln>
          <a:effectLst>
            <a:outerShdw blurRad="50800" dist="50800" dir="5400000" algn="ctr" rotWithShape="0">
              <a:srgbClr val="DBBFE7"/>
            </a:outerShdw>
          </a:effectLst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>
              <a:outerShdw blurRad="50800" dist="50800" dir="5400000" algn="ctr" rotWithShape="0">
                <a:srgbClr val="DBBFE7"/>
              </a:outerShdw>
            </a:effectLst>
          </c:spPr>
        </c:marker>
        <c:dLbl>
          <c:idx val="0"/>
          <c:layout>
            <c:manualLayout>
              <c:x val="-9.0399305555555559E-2"/>
              <c:y val="-0.107908496732026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sq">
            <a:solidFill>
              <a:srgbClr val="8B257F"/>
            </a:solidFill>
            <a:bevel/>
          </a:ln>
          <a:effectLst>
            <a:outerShdw blurRad="50800" dist="50800" dir="5400000" algn="ctr" rotWithShape="0">
              <a:srgbClr val="DBBFE7"/>
            </a:outerShdw>
          </a:effectLst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>
              <a:outerShdw blurRad="50800" dist="50800" dir="5400000" algn="ctr" rotWithShape="0">
                <a:srgbClr val="DBBFE7"/>
              </a:outerShdw>
            </a:effectLst>
          </c:spPr>
        </c:marker>
        <c:dLbl>
          <c:idx val="0"/>
          <c:layout>
            <c:manualLayout>
              <c:x val="-6.1736111111111193E-2"/>
              <c:y val="-7.25767973856209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sq">
            <a:solidFill>
              <a:srgbClr val="8B257F"/>
            </a:solidFill>
            <a:bevel/>
          </a:ln>
          <a:effectLst>
            <a:outerShdw blurRad="50800" dist="50800" dir="5400000" algn="ctr" rotWithShape="0">
              <a:srgbClr val="DBBFE7"/>
            </a:outerShdw>
          </a:effectLst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>
              <a:outerShdw blurRad="50800" dist="50800" dir="5400000" algn="ctr" rotWithShape="0">
                <a:srgbClr val="DBBFE7"/>
              </a:outerShdw>
            </a:effectLst>
          </c:spPr>
        </c:marker>
        <c:dLbl>
          <c:idx val="0"/>
          <c:layout>
            <c:manualLayout>
              <c:x val="-8.157986111111111E-2"/>
              <c:y val="-7.88562091503268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sq">
            <a:solidFill>
              <a:srgbClr val="8B257F"/>
            </a:solidFill>
            <a:bevel/>
          </a:ln>
          <a:effectLst>
            <a:outerShdw blurRad="50800" dist="50800" dir="5400000" algn="ctr" rotWithShape="0">
              <a:srgbClr val="DBBFE7"/>
            </a:outerShdw>
          </a:effectLst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>
              <a:outerShdw blurRad="50800" dist="50800" dir="5400000" algn="ctr" rotWithShape="0">
                <a:srgbClr val="DBBFE7"/>
              </a:outerShdw>
            </a:effectLst>
          </c:spPr>
        </c:marker>
        <c:dLbl>
          <c:idx val="0"/>
          <c:layout>
            <c:manualLayout>
              <c:x val="-2.4253472222222221E-2"/>
              <c:y val="-8.8538562091503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64027777777776"/>
          <c:y val="0.16041013071895424"/>
          <c:w val="0.83426250000000002"/>
          <c:h val="0.71873954248366023"/>
        </c:manualLayout>
      </c:layout>
      <c:lineChart>
        <c:grouping val="standard"/>
        <c:varyColors val="0"/>
        <c:ser>
          <c:idx val="0"/>
          <c:order val="0"/>
          <c:tx>
            <c:strRef>
              <c:f>analisis!$C$12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sq">
              <a:solidFill>
                <a:srgbClr val="8B257F"/>
              </a:solidFill>
              <a:bevel/>
            </a:ln>
            <a:effectLst>
              <a:outerShdw blurRad="50800" dist="50800" dir="5400000" algn="ctr" rotWithShape="0">
                <a:srgbClr val="DBBFE7"/>
              </a:outerShdw>
            </a:effectLst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>
                <a:outerShdw blurRad="50800" dist="50800" dir="5400000" algn="ctr" rotWithShape="0">
                  <a:srgbClr val="DBBFE7"/>
                </a:outerShdw>
              </a:effectLst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>
                  <a:outerShdw blurRad="50800" dist="50800" dir="5400000" algn="ctr" rotWithShape="0">
                    <a:srgbClr val="DBBFE7"/>
                  </a:outerShdw>
                </a:effectLst>
              </c:spPr>
            </c:marker>
            <c:bubble3D val="0"/>
            <c:spPr>
              <a:ln w="28575" cap="sq">
                <a:solidFill>
                  <a:srgbClr val="8B257F"/>
                </a:solidFill>
                <a:bevel/>
              </a:ln>
              <a:effectLst>
                <a:outerShdw blurRad="50800" dist="50800" dir="5400000" algn="ctr" rotWithShape="0">
                  <a:srgbClr val="DBBFE7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F2D-4D0B-8817-AB7767A8B609}"/>
              </c:ext>
            </c:extLst>
          </c:dPt>
          <c:dLbls>
            <c:dLbl>
              <c:idx val="0"/>
              <c:layout>
                <c:manualLayout>
                  <c:x val="-6.1736111111111193E-2"/>
                  <c:y val="-7.2576797385620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2D-4D0B-8817-AB7767A8B6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analisis!$B$13:$B$14</c:f>
              <c:strCache>
                <c:ptCount val="1"/>
                <c:pt idx="0">
                  <c:v>Tienda A</c:v>
                </c:pt>
              </c:strCache>
            </c:strRef>
          </c:cat>
          <c:val>
            <c:numRef>
              <c:f>analisis!$C$13:$C$14</c:f>
              <c:numCache>
                <c:formatCode>General</c:formatCode>
                <c:ptCount val="1"/>
                <c:pt idx="0">
                  <c:v>424228.05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A-4E34-832B-8209EA227A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692368"/>
        <c:axId val="611691288"/>
      </c:lineChart>
      <c:catAx>
        <c:axId val="61169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11691288"/>
        <c:crosses val="autoZero"/>
        <c:auto val="1"/>
        <c:lblAlgn val="ctr"/>
        <c:lblOffset val="100"/>
        <c:noMultiLvlLbl val="0"/>
      </c:catAx>
      <c:valAx>
        <c:axId val="61169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116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C8B6C7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 ventas en tiendas.xlsx]analisis!TablaDinámica7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rgbClr val="8B257F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rgbClr val="8B257F"/>
                </a:solidFill>
                <a:latin typeface="+mn-lt"/>
                <a:ea typeface="+mn-ea"/>
                <a:cs typeface="+mn-cs"/>
              </a:rPr>
              <a:t>5 productos mas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rgbClr val="8B257F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B257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18402777777778"/>
              <c:y val="-0.11205882352941181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008680555555555"/>
              <c:y val="7.6088445638519489E-17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536458333333334"/>
              <c:y val="7.885620915032680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B257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49652777777779"/>
              <c:y val="-4.150326797385696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B257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29166666666667"/>
              <c:y val="-9.1307189542483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B257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analisis!$C$22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39-40B5-808E-3E4E75B25BD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39-40B5-808E-3E4E75B25BD9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39-40B5-808E-3E4E75B25BD9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39-40B5-808E-3E4E75B25BD9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39-40B5-808E-3E4E75B25BD9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3229166666666667"/>
                  <c:y val="-9.1307189542483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39-40B5-808E-3E4E75B25BD9}"/>
                </c:ext>
              </c:extLst>
            </c:dLbl>
            <c:dLbl>
              <c:idx val="1"/>
              <c:layout>
                <c:manualLayout>
                  <c:x val="-0.16536458333333334"/>
                  <c:y val="7.88562091503268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39-40B5-808E-3E4E75B25BD9}"/>
                </c:ext>
              </c:extLst>
            </c:dLbl>
            <c:dLbl>
              <c:idx val="5"/>
              <c:layout>
                <c:manualLayout>
                  <c:x val="-0.13449652777777779"/>
                  <c:y val="-4.15032679738569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B257F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analisis!$B$23:$B$29</c:f>
              <c:strCache>
                <c:ptCount val="6"/>
                <c:pt idx="0">
                  <c:v>Microondas LG</c:v>
                </c:pt>
                <c:pt idx="1">
                  <c:v>Puzzle 1000 piezas</c:v>
                </c:pt>
                <c:pt idx="2">
                  <c:v>Crema Nivea</c:v>
                </c:pt>
                <c:pt idx="3">
                  <c:v>Drone para niños</c:v>
                </c:pt>
                <c:pt idx="4">
                  <c:v>Zapatillas Nike</c:v>
                </c:pt>
                <c:pt idx="5">
                  <c:v>Casaca Puma</c:v>
                </c:pt>
              </c:strCache>
            </c:strRef>
          </c:cat>
          <c:val>
            <c:numRef>
              <c:f>analisis!$C$23:$C$29</c:f>
              <c:numCache>
                <c:formatCode>General</c:formatCode>
                <c:ptCount val="6"/>
                <c:pt idx="0">
                  <c:v>60</c:v>
                </c:pt>
                <c:pt idx="1">
                  <c:v>40</c:v>
                </c:pt>
                <c:pt idx="2">
                  <c:v>33</c:v>
                </c:pt>
                <c:pt idx="3">
                  <c:v>32</c:v>
                </c:pt>
                <c:pt idx="4">
                  <c:v>31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39-40B5-808E-3E4E75B25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C8B6C7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 ventas en tiendas.xlsx]analisis!TablaDinámica8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200" b="0" i="0" u="none" strike="noStrike" kern="1200" spc="0" baseline="0">
                <a:solidFill>
                  <a:srgbClr val="8B257F"/>
                </a:solidFill>
                <a:latin typeface="+mn-lt"/>
                <a:ea typeface="+mn-ea"/>
                <a:cs typeface="+mn-cs"/>
              </a:defRPr>
            </a:pPr>
            <a:r>
              <a:rPr lang="es-PE" sz="1200" b="0" i="0" u="none" strike="noStrike" kern="1200" spc="0" baseline="0">
                <a:solidFill>
                  <a:srgbClr val="8B257F"/>
                </a:solidFill>
                <a:latin typeface="+mn-lt"/>
                <a:ea typeface="+mn-ea"/>
                <a:cs typeface="+mn-cs"/>
              </a:rPr>
              <a:t>5 productos menos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200" b="0" i="0" u="none" strike="noStrike" kern="1200" spc="0" baseline="0">
              <a:solidFill>
                <a:srgbClr val="8B257F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B257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229166666666667"/>
              <c:y val="-6.6405228758169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B257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7013888888888802E-2"/>
              <c:y val="0.1701633986928104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725694444444445"/>
              <c:y val="6.2254901960784315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347222222222222"/>
              <c:y val="-1.660130718954248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B257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06250000000002"/>
              <c:y val="-9.75326797385621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8B257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319114583333331"/>
                  <c:h val="0.13369803921568627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634722222222222"/>
          <c:y val="0.20966797385620914"/>
          <c:w val="0.36600260416666669"/>
          <c:h val="0.68894607843137257"/>
        </c:manualLayout>
      </c:layout>
      <c:doughnutChart>
        <c:varyColors val="1"/>
        <c:ser>
          <c:idx val="0"/>
          <c:order val="0"/>
          <c:tx>
            <c:strRef>
              <c:f>analisis!$C$32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A-454B-9071-980367F59757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CA-454B-9071-980367F5975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CA-454B-9071-980367F59757}"/>
              </c:ext>
            </c:extLst>
          </c:dPt>
          <c:dPt>
            <c:idx val="3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CA-454B-9071-980367F59757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CA-454B-9071-980367F59757}"/>
              </c:ext>
            </c:extLst>
          </c:dPt>
          <c:dLbls>
            <c:dLbl>
              <c:idx val="0"/>
              <c:layout>
                <c:manualLayout>
                  <c:x val="-0.12347222222222222"/>
                  <c:y val="-1.660130718954248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CA-454B-9071-980367F59757}"/>
                </c:ext>
              </c:extLst>
            </c:dLbl>
            <c:dLbl>
              <c:idx val="3"/>
              <c:layout>
                <c:manualLayout>
                  <c:x val="0.13229166666666667"/>
                  <c:y val="-6.64052287581699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CA-454B-9071-980367F5975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B257F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analisis!$B$33:$B$38</c:f>
              <c:strCache>
                <c:ptCount val="5"/>
                <c:pt idx="0">
                  <c:v>Lego Star Wars</c:v>
                </c:pt>
                <c:pt idx="1">
                  <c:v>Cuerda para saltar</c:v>
                </c:pt>
                <c:pt idx="2">
                  <c:v>Cafetera Delonghi</c:v>
                </c:pt>
                <c:pt idx="3">
                  <c:v>Secadora Philips</c:v>
                </c:pt>
                <c:pt idx="4">
                  <c:v>Auriculares Sony</c:v>
                </c:pt>
              </c:strCache>
            </c:strRef>
          </c:cat>
          <c:val>
            <c:numRef>
              <c:f>analisis!$C$33:$C$38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CA-454B-9071-980367F59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C8B6C7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86524</xdr:colOff>
      <xdr:row>9</xdr:row>
      <xdr:rowOff>67154</xdr:rowOff>
    </xdr:from>
    <xdr:to>
      <xdr:col>18</xdr:col>
      <xdr:colOff>512524</xdr:colOff>
      <xdr:row>25</xdr:row>
      <xdr:rowOff>79154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87F2BD-E3F9-4842-9EF0-62B97D521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218699</xdr:colOff>
      <xdr:row>9</xdr:row>
      <xdr:rowOff>64671</xdr:rowOff>
    </xdr:from>
    <xdr:to>
      <xdr:col>10</xdr:col>
      <xdr:colOff>644699</xdr:colOff>
      <xdr:row>25</xdr:row>
      <xdr:rowOff>76671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9D3B9F-E5E7-4726-8A17-2B62553CA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237644</xdr:colOff>
      <xdr:row>26</xdr:row>
      <xdr:rowOff>82604</xdr:rowOff>
    </xdr:from>
    <xdr:to>
      <xdr:col>10</xdr:col>
      <xdr:colOff>663644</xdr:colOff>
      <xdr:row>42</xdr:row>
      <xdr:rowOff>94604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859B52A-0F3F-4342-BAFB-691A84047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89727</xdr:colOff>
      <xdr:row>26</xdr:row>
      <xdr:rowOff>75878</xdr:rowOff>
    </xdr:from>
    <xdr:to>
      <xdr:col>18</xdr:col>
      <xdr:colOff>515727</xdr:colOff>
      <xdr:row>42</xdr:row>
      <xdr:rowOff>87878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A3D1EFF-6446-4776-BB46-C20225794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692123</xdr:colOff>
      <xdr:row>14</xdr:row>
      <xdr:rowOff>112060</xdr:rowOff>
    </xdr:from>
    <xdr:to>
      <xdr:col>21</xdr:col>
      <xdr:colOff>602123</xdr:colOff>
      <xdr:row>43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Fecha">
              <a:extLst>
                <a:ext uri="{FF2B5EF4-FFF2-40B4-BE49-F238E27FC236}">
                  <a16:creationId xmlns:a16="http://schemas.microsoft.com/office/drawing/2014/main" id="{756ECA81-35CD-4F3F-95FB-F4A86BB427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08123" y="2779060"/>
              <a:ext cx="2196000" cy="5412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147996</xdr:colOff>
      <xdr:row>31</xdr:row>
      <xdr:rowOff>11208</xdr:rowOff>
    </xdr:from>
    <xdr:to>
      <xdr:col>3</xdr:col>
      <xdr:colOff>57996</xdr:colOff>
      <xdr:row>43</xdr:row>
      <xdr:rowOff>22414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Tienda">
              <a:extLst>
                <a:ext uri="{FF2B5EF4-FFF2-40B4-BE49-F238E27FC236}">
                  <a16:creationId xmlns:a16="http://schemas.microsoft.com/office/drawing/2014/main" id="{3B0F325E-14E7-442A-AB3F-F348BE530E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996" y="5916708"/>
              <a:ext cx="2196000" cy="22972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134469</xdr:colOff>
      <xdr:row>16</xdr:row>
      <xdr:rowOff>78443</xdr:rowOff>
    </xdr:from>
    <xdr:to>
      <xdr:col>3</xdr:col>
      <xdr:colOff>44469</xdr:colOff>
      <xdr:row>30</xdr:row>
      <xdr:rowOff>112060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ategoría de Producto">
              <a:extLst>
                <a:ext uri="{FF2B5EF4-FFF2-40B4-BE49-F238E27FC236}">
                  <a16:creationId xmlns:a16="http://schemas.microsoft.com/office/drawing/2014/main" id="{358EBC38-232C-43BE-B9E4-1EB60DA6A8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de 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469" y="3126443"/>
              <a:ext cx="2196000" cy="27006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668350</xdr:colOff>
      <xdr:row>0</xdr:row>
      <xdr:rowOff>11206</xdr:rowOff>
    </xdr:from>
    <xdr:to>
      <xdr:col>21</xdr:col>
      <xdr:colOff>578350</xdr:colOff>
      <xdr:row>14</xdr:row>
      <xdr:rowOff>33618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Vendedor">
              <a:extLst>
                <a:ext uri="{FF2B5EF4-FFF2-40B4-BE49-F238E27FC236}">
                  <a16:creationId xmlns:a16="http://schemas.microsoft.com/office/drawing/2014/main" id="{DFE89119-D55D-4BF2-B51C-08FF32E72F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84350" y="11206"/>
              <a:ext cx="2196000" cy="2689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233723</xdr:colOff>
      <xdr:row>1</xdr:row>
      <xdr:rowOff>28014</xdr:rowOff>
    </xdr:from>
    <xdr:to>
      <xdr:col>18</xdr:col>
      <xdr:colOff>503723</xdr:colOff>
      <xdr:row>8</xdr:row>
      <xdr:rowOff>66114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2" name="Fecha 1">
              <a:extLst>
                <a:ext uri="{FF2B5EF4-FFF2-40B4-BE49-F238E27FC236}">
                  <a16:creationId xmlns:a16="http://schemas.microsoft.com/office/drawing/2014/main" id="{DAEA7B4A-4451-4517-84F1-1D3712A3F4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9723" y="218514"/>
              <a:ext cx="117000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0</xdr:col>
      <xdr:colOff>177179</xdr:colOff>
      <xdr:row>0</xdr:row>
      <xdr:rowOff>179295</xdr:rowOff>
    </xdr:from>
    <xdr:to>
      <xdr:col>3</xdr:col>
      <xdr:colOff>87179</xdr:colOff>
      <xdr:row>5</xdr:row>
      <xdr:rowOff>36420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7E300429-D88B-4B53-8C70-EBC132E6A76B}"/>
            </a:ext>
          </a:extLst>
        </xdr:cNvPr>
        <xdr:cNvSpPr/>
      </xdr:nvSpPr>
      <xdr:spPr>
        <a:xfrm>
          <a:off x="177179" y="179295"/>
          <a:ext cx="2196000" cy="809625"/>
        </a:xfrm>
        <a:prstGeom prst="roundRect">
          <a:avLst/>
        </a:prstGeom>
        <a:gradFill>
          <a:gsLst>
            <a:gs pos="0">
              <a:srgbClr val="8B257F"/>
            </a:gs>
            <a:gs pos="100000">
              <a:srgbClr val="BA84AC"/>
            </a:gs>
          </a:gsLst>
          <a:lin ang="42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lt1"/>
            </a:solidFill>
          </a:endParaRPr>
        </a:p>
      </xdr:txBody>
    </xdr:sp>
    <xdr:clientData/>
  </xdr:twoCellAnchor>
  <xdr:twoCellAnchor>
    <xdr:from>
      <xdr:col>0</xdr:col>
      <xdr:colOff>215776</xdr:colOff>
      <xdr:row>2</xdr:row>
      <xdr:rowOff>113980</xdr:rowOff>
    </xdr:from>
    <xdr:to>
      <xdr:col>3</xdr:col>
      <xdr:colOff>44822</xdr:colOff>
      <xdr:row>4</xdr:row>
      <xdr:rowOff>150132</xdr:rowOff>
    </xdr:to>
    <xdr:sp macro="" textlink="analisis!B43">
      <xdr:nvSpPr>
        <xdr:cNvPr id="15" name="CuadroTexto 14">
          <a:extLst>
            <a:ext uri="{FF2B5EF4-FFF2-40B4-BE49-F238E27FC236}">
              <a16:creationId xmlns:a16="http://schemas.microsoft.com/office/drawing/2014/main" id="{E235A7F4-5B77-4273-AF1B-877F0F7944FA}"/>
            </a:ext>
          </a:extLst>
        </xdr:cNvPr>
        <xdr:cNvSpPr txBox="1"/>
      </xdr:nvSpPr>
      <xdr:spPr>
        <a:xfrm>
          <a:off x="215776" y="494980"/>
          <a:ext cx="2115046" cy="4171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26704A6-B3FD-4F2C-B457-91EFBBC3BCE0}" type="TxLink">
            <a:rPr lang="en-US" sz="1600" b="0" i="0" u="none" strike="noStrike">
              <a:solidFill>
                <a:schemeClr val="bg1"/>
              </a:solidFill>
              <a:latin typeface="Aptos Narrow"/>
            </a:rPr>
            <a:pPr algn="ctr"/>
            <a:t>S/ 424,228.05</a:t>
          </a:fld>
          <a:endParaRPr lang="es-PE" sz="16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250255</xdr:colOff>
      <xdr:row>1</xdr:row>
      <xdr:rowOff>34739</xdr:rowOff>
    </xdr:from>
    <xdr:to>
      <xdr:col>3</xdr:col>
      <xdr:colOff>11204</xdr:colOff>
      <xdr:row>3</xdr:row>
      <xdr:rowOff>41901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1B226A50-EC80-28F5-9D5A-1A0DB453C6D8}"/>
            </a:ext>
          </a:extLst>
        </xdr:cNvPr>
        <xdr:cNvSpPr txBox="1"/>
      </xdr:nvSpPr>
      <xdr:spPr>
        <a:xfrm>
          <a:off x="250255" y="225239"/>
          <a:ext cx="2046949" cy="3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0">
              <a:solidFill>
                <a:schemeClr val="bg1"/>
              </a:solidFill>
            </a:rPr>
            <a:t>VENTAS</a:t>
          </a:r>
          <a:r>
            <a:rPr lang="es-PE" sz="1200" b="0" baseline="0">
              <a:solidFill>
                <a:schemeClr val="bg1"/>
              </a:solidFill>
            </a:rPr>
            <a:t> TOTALES</a:t>
          </a:r>
          <a:endParaRPr lang="es-PE" sz="12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176292</xdr:colOff>
      <xdr:row>6</xdr:row>
      <xdr:rowOff>17537</xdr:rowOff>
    </xdr:from>
    <xdr:to>
      <xdr:col>3</xdr:col>
      <xdr:colOff>86292</xdr:colOff>
      <xdr:row>10</xdr:row>
      <xdr:rowOff>65162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5B492706-1A9B-4B05-B340-40330D370C84}"/>
            </a:ext>
          </a:extLst>
        </xdr:cNvPr>
        <xdr:cNvSpPr/>
      </xdr:nvSpPr>
      <xdr:spPr>
        <a:xfrm>
          <a:off x="176292" y="1160537"/>
          <a:ext cx="2196000" cy="809625"/>
        </a:xfrm>
        <a:prstGeom prst="roundRect">
          <a:avLst/>
        </a:prstGeom>
        <a:gradFill>
          <a:gsLst>
            <a:gs pos="0">
              <a:srgbClr val="8B257F"/>
            </a:gs>
            <a:gs pos="100000">
              <a:srgbClr val="BA84AC"/>
            </a:gs>
          </a:gsLst>
          <a:lin ang="42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PE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336177</xdr:colOff>
      <xdr:row>8</xdr:row>
      <xdr:rowOff>19458</xdr:rowOff>
    </xdr:from>
    <xdr:to>
      <xdr:col>2</xdr:col>
      <xdr:colOff>672353</xdr:colOff>
      <xdr:row>10</xdr:row>
      <xdr:rowOff>9933</xdr:rowOff>
    </xdr:to>
    <xdr:sp macro="" textlink="analisis!B48">
      <xdr:nvSpPr>
        <xdr:cNvPr id="19" name="CuadroTexto 18">
          <a:extLst>
            <a:ext uri="{FF2B5EF4-FFF2-40B4-BE49-F238E27FC236}">
              <a16:creationId xmlns:a16="http://schemas.microsoft.com/office/drawing/2014/main" id="{CCA3C9AD-177B-49C9-82FA-38A6D268CC74}"/>
            </a:ext>
          </a:extLst>
        </xdr:cNvPr>
        <xdr:cNvSpPr txBox="1"/>
      </xdr:nvSpPr>
      <xdr:spPr>
        <a:xfrm>
          <a:off x="336177" y="1543458"/>
          <a:ext cx="1860176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50D2528-8B1D-4F80-A73C-3357BE9FBF7C}" type="TxLink">
            <a:rPr lang="en-US" sz="1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579</a:t>
          </a:fld>
          <a:endParaRPr lang="es-PE" sz="16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311885</xdr:colOff>
      <xdr:row>6</xdr:row>
      <xdr:rowOff>102801</xdr:rowOff>
    </xdr:from>
    <xdr:to>
      <xdr:col>2</xdr:col>
      <xdr:colOff>750792</xdr:colOff>
      <xdr:row>8</xdr:row>
      <xdr:rowOff>11693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2155412C-0BC5-481C-B9AD-DEF475DDD95B}"/>
            </a:ext>
          </a:extLst>
        </xdr:cNvPr>
        <xdr:cNvSpPr txBox="1"/>
      </xdr:nvSpPr>
      <xdr:spPr>
        <a:xfrm>
          <a:off x="311885" y="1245801"/>
          <a:ext cx="1962907" cy="2898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0">
              <a:solidFill>
                <a:schemeClr val="bg1"/>
              </a:solidFill>
            </a:rPr>
            <a:t>UNIDADES</a:t>
          </a:r>
          <a:r>
            <a:rPr lang="es-PE" sz="1200" b="0" baseline="0">
              <a:solidFill>
                <a:schemeClr val="bg1"/>
              </a:solidFill>
            </a:rPr>
            <a:t> TOTALES</a:t>
          </a:r>
          <a:endParaRPr lang="es-PE" sz="12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171527</xdr:colOff>
      <xdr:row>11</xdr:row>
      <xdr:rowOff>51225</xdr:rowOff>
    </xdr:from>
    <xdr:to>
      <xdr:col>3</xdr:col>
      <xdr:colOff>81527</xdr:colOff>
      <xdr:row>15</xdr:row>
      <xdr:rowOff>98850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22AEB268-3314-4C69-BFB5-AA4D89CAFF6A}"/>
            </a:ext>
          </a:extLst>
        </xdr:cNvPr>
        <xdr:cNvSpPr/>
      </xdr:nvSpPr>
      <xdr:spPr>
        <a:xfrm>
          <a:off x="171527" y="2146725"/>
          <a:ext cx="2196000" cy="809625"/>
        </a:xfrm>
        <a:prstGeom prst="roundRect">
          <a:avLst/>
        </a:prstGeom>
        <a:gradFill>
          <a:gsLst>
            <a:gs pos="0">
              <a:srgbClr val="8B257F"/>
            </a:gs>
            <a:gs pos="100000">
              <a:srgbClr val="BA84AC"/>
            </a:gs>
          </a:gsLst>
          <a:lin ang="42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PE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362590</xdr:colOff>
      <xdr:row>13</xdr:row>
      <xdr:rowOff>53146</xdr:rowOff>
    </xdr:from>
    <xdr:to>
      <xdr:col>2</xdr:col>
      <xdr:colOff>649940</xdr:colOff>
      <xdr:row>15</xdr:row>
      <xdr:rowOff>56028</xdr:rowOff>
    </xdr:to>
    <xdr:sp macro="" textlink="analisis!B60">
      <xdr:nvSpPr>
        <xdr:cNvPr id="27" name="CuadroTexto 26">
          <a:extLst>
            <a:ext uri="{FF2B5EF4-FFF2-40B4-BE49-F238E27FC236}">
              <a16:creationId xmlns:a16="http://schemas.microsoft.com/office/drawing/2014/main" id="{BD599273-21E9-406B-B3E1-09BB3D67BE2B}"/>
            </a:ext>
          </a:extLst>
        </xdr:cNvPr>
        <xdr:cNvSpPr txBox="1"/>
      </xdr:nvSpPr>
      <xdr:spPr>
        <a:xfrm>
          <a:off x="362590" y="2529646"/>
          <a:ext cx="1811350" cy="383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283AE99-C159-4C34-BC25-76444C093F67}" type="TxLink">
            <a:rPr lang="en-US" sz="1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21%</a:t>
          </a:fld>
          <a:endParaRPr lang="es-PE" sz="16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284708</xdr:colOff>
      <xdr:row>11</xdr:row>
      <xdr:rowOff>119581</xdr:rowOff>
    </xdr:from>
    <xdr:to>
      <xdr:col>2</xdr:col>
      <xdr:colOff>750793</xdr:colOff>
      <xdr:row>13</xdr:row>
      <xdr:rowOff>89645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9C368165-C04B-4421-ACE0-43EEFBCB54A4}"/>
            </a:ext>
          </a:extLst>
        </xdr:cNvPr>
        <xdr:cNvSpPr txBox="1"/>
      </xdr:nvSpPr>
      <xdr:spPr>
        <a:xfrm>
          <a:off x="284708" y="2215081"/>
          <a:ext cx="1990085" cy="351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0">
              <a:solidFill>
                <a:schemeClr val="bg1"/>
              </a:solidFill>
              <a:latin typeface="+mn-lt"/>
              <a:ea typeface="+mn-ea"/>
              <a:cs typeface="+mn-cs"/>
            </a:rPr>
            <a:t>PORCENTAJE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ll name" refreshedDate="46076.706911574074" createdVersion="8" refreshedVersion="8" minRefreshableVersion="3" recordCount="500" xr:uid="{B1D1957A-9B31-467B-8308-581A60AFA6EF}">
  <cacheSource type="worksheet">
    <worksheetSource name="Tabla1"/>
  </cacheSource>
  <cacheFields count="8">
    <cacheField name="Fecha" numFmtId="14">
      <sharedItems containsSemiMixedTypes="0" containsNonDate="0" containsDate="1" containsString="0" minDate="2026-01-02T00:00:00" maxDate="2027-05-16T00:00:00" count="499"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</sharedItems>
    </cacheField>
    <cacheField name="Tienda" numFmtId="0">
      <sharedItems count="5">
        <s v="Tienda B"/>
        <s v="Tienda E"/>
        <s v="Tienda C"/>
        <s v="Tienda D"/>
        <s v="Tienda A"/>
      </sharedItems>
    </cacheField>
    <cacheField name="Categoría de Producto" numFmtId="0">
      <sharedItems count="6">
        <s v="Juguetes"/>
        <s v="Hogar"/>
        <s v="Ropa"/>
        <s v="Electrónica"/>
        <s v="Deportes"/>
        <s v="Belleza"/>
      </sharedItems>
    </cacheField>
    <cacheField name="Vendedor" numFmtId="0">
      <sharedItems count="8">
        <s v="Lucía"/>
        <s v="María"/>
        <s v="Ana"/>
        <s v="José"/>
        <s v="Luis"/>
        <s v="Rosa"/>
        <s v="Pedro"/>
        <s v="Carlos"/>
      </sharedItems>
    </cacheField>
    <cacheField name="Producto" numFmtId="0">
      <sharedItems count="30">
        <s v="Puzzle 1000 piezas"/>
        <s v="Cafetera Delonghi"/>
        <s v="Pantalón Levi's"/>
        <s v="Smartphone Samsung"/>
        <s v="Ventilador Imaco"/>
        <s v="Polo Adidas"/>
        <s v="Casaca Puma"/>
        <s v="Smartwatch Apple"/>
        <s v="Guantes Everlast"/>
        <s v="Lego Star Wars"/>
        <s v="Drone para niños"/>
        <s v="Crema Nivea"/>
        <s v="Balón Adidas"/>
        <s v="Plancha Philips"/>
        <s v="Perfume Dior"/>
        <s v="Auriculares Sony"/>
        <s v="Licuadora Oster"/>
        <s v="Auto Hot Wheels"/>
        <s v="Secadora Philips"/>
        <s v="Cuerda para saltar"/>
        <s v="Maquillaje Maybelline"/>
        <s v="Camisa Lacoste"/>
        <s v="Zapatillas Nike"/>
        <s v="Bicicleta Trek"/>
        <s v="Microondas LG"/>
        <s v="Tablet Lenovo"/>
        <s v="Laptop HP"/>
        <s v="Raqueta Wilson"/>
        <s v="Plancha de cabello Remington"/>
        <s v="Muñeca Barbie"/>
      </sharedItems>
    </cacheField>
    <cacheField name="Cantidad" numFmtId="0">
      <sharedItems containsSemiMixedTypes="0" containsString="0" containsNumber="1" containsInteger="1" minValue="1" maxValue="10"/>
    </cacheField>
    <cacheField name="Precio" numFmtId="0">
      <sharedItems containsSemiMixedTypes="0" containsString="0" containsNumber="1" minValue="20.37" maxValue="1499.62"/>
    </cacheField>
    <cacheField name="Total" numFmtId="0">
      <sharedItems containsSemiMixedTypes="0" containsString="0" containsNumber="1" minValue="26.69" maxValue="14946.300000000001"/>
    </cacheField>
  </cacheFields>
  <extLst>
    <ext xmlns:x14="http://schemas.microsoft.com/office/spreadsheetml/2009/9/main" uri="{725AE2AE-9491-48be-B2B4-4EB974FC3084}">
      <x14:pivotCacheDefinition pivotCacheId="20908670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n v="6"/>
    <n v="625.01"/>
    <n v="3750.06"/>
  </r>
  <r>
    <x v="0"/>
    <x v="1"/>
    <x v="1"/>
    <x v="1"/>
    <x v="1"/>
    <n v="1"/>
    <n v="84.42"/>
    <n v="84.42"/>
  </r>
  <r>
    <x v="1"/>
    <x v="2"/>
    <x v="2"/>
    <x v="1"/>
    <x v="2"/>
    <n v="5"/>
    <n v="560.97"/>
    <n v="2804.8500000000004"/>
  </r>
  <r>
    <x v="2"/>
    <x v="3"/>
    <x v="3"/>
    <x v="2"/>
    <x v="3"/>
    <n v="10"/>
    <n v="1197.81"/>
    <n v="11978.099999999999"/>
  </r>
  <r>
    <x v="3"/>
    <x v="1"/>
    <x v="1"/>
    <x v="1"/>
    <x v="4"/>
    <n v="2"/>
    <n v="349.98"/>
    <n v="699.96"/>
  </r>
  <r>
    <x v="4"/>
    <x v="3"/>
    <x v="2"/>
    <x v="3"/>
    <x v="5"/>
    <n v="7"/>
    <n v="353.77"/>
    <n v="2476.39"/>
  </r>
  <r>
    <x v="5"/>
    <x v="1"/>
    <x v="2"/>
    <x v="3"/>
    <x v="6"/>
    <n v="3"/>
    <n v="821.79"/>
    <n v="2465.37"/>
  </r>
  <r>
    <x v="6"/>
    <x v="4"/>
    <x v="3"/>
    <x v="3"/>
    <x v="7"/>
    <n v="9"/>
    <n v="575.49"/>
    <n v="5179.41"/>
  </r>
  <r>
    <x v="7"/>
    <x v="1"/>
    <x v="4"/>
    <x v="2"/>
    <x v="8"/>
    <n v="3"/>
    <n v="1180.1500000000001"/>
    <n v="3540.4500000000003"/>
  </r>
  <r>
    <x v="8"/>
    <x v="0"/>
    <x v="0"/>
    <x v="4"/>
    <x v="9"/>
    <n v="8"/>
    <n v="948.14"/>
    <n v="7585.12"/>
  </r>
  <r>
    <x v="9"/>
    <x v="1"/>
    <x v="1"/>
    <x v="0"/>
    <x v="1"/>
    <n v="7"/>
    <n v="1439.39"/>
    <n v="10075.730000000001"/>
  </r>
  <r>
    <x v="10"/>
    <x v="1"/>
    <x v="0"/>
    <x v="4"/>
    <x v="10"/>
    <n v="6"/>
    <n v="242.24"/>
    <n v="1453.44"/>
  </r>
  <r>
    <x v="11"/>
    <x v="1"/>
    <x v="5"/>
    <x v="4"/>
    <x v="11"/>
    <n v="2"/>
    <n v="1046.6199999999999"/>
    <n v="2093.2399999999998"/>
  </r>
  <r>
    <x v="12"/>
    <x v="0"/>
    <x v="4"/>
    <x v="4"/>
    <x v="12"/>
    <n v="7"/>
    <n v="35.19"/>
    <n v="246.32999999999998"/>
  </r>
  <r>
    <x v="13"/>
    <x v="0"/>
    <x v="1"/>
    <x v="0"/>
    <x v="13"/>
    <n v="1"/>
    <n v="828.19"/>
    <n v="828.19"/>
  </r>
  <r>
    <x v="14"/>
    <x v="3"/>
    <x v="5"/>
    <x v="4"/>
    <x v="14"/>
    <n v="8"/>
    <n v="562.22"/>
    <n v="4497.76"/>
  </r>
  <r>
    <x v="15"/>
    <x v="2"/>
    <x v="3"/>
    <x v="1"/>
    <x v="15"/>
    <n v="6"/>
    <n v="971.14"/>
    <n v="5826.84"/>
  </r>
  <r>
    <x v="16"/>
    <x v="4"/>
    <x v="1"/>
    <x v="4"/>
    <x v="13"/>
    <n v="7"/>
    <n v="921.18"/>
    <n v="6448.2599999999993"/>
  </r>
  <r>
    <x v="17"/>
    <x v="3"/>
    <x v="4"/>
    <x v="1"/>
    <x v="8"/>
    <n v="3"/>
    <n v="468.57"/>
    <n v="1405.71"/>
  </r>
  <r>
    <x v="18"/>
    <x v="3"/>
    <x v="1"/>
    <x v="4"/>
    <x v="16"/>
    <n v="10"/>
    <n v="1132.23"/>
    <n v="11322.3"/>
  </r>
  <r>
    <x v="19"/>
    <x v="2"/>
    <x v="0"/>
    <x v="5"/>
    <x v="10"/>
    <n v="10"/>
    <n v="124.49"/>
    <n v="1244.8999999999999"/>
  </r>
  <r>
    <x v="20"/>
    <x v="3"/>
    <x v="2"/>
    <x v="0"/>
    <x v="5"/>
    <n v="3"/>
    <n v="791.73"/>
    <n v="2375.19"/>
  </r>
  <r>
    <x v="21"/>
    <x v="1"/>
    <x v="0"/>
    <x v="0"/>
    <x v="17"/>
    <n v="7"/>
    <n v="1334.38"/>
    <n v="9340.66"/>
  </r>
  <r>
    <x v="22"/>
    <x v="2"/>
    <x v="2"/>
    <x v="2"/>
    <x v="2"/>
    <n v="2"/>
    <n v="738.55"/>
    <n v="1477.1"/>
  </r>
  <r>
    <x v="23"/>
    <x v="1"/>
    <x v="5"/>
    <x v="6"/>
    <x v="18"/>
    <n v="3"/>
    <n v="51.06"/>
    <n v="153.18"/>
  </r>
  <r>
    <x v="24"/>
    <x v="3"/>
    <x v="4"/>
    <x v="2"/>
    <x v="19"/>
    <n v="9"/>
    <n v="1055.75"/>
    <n v="9501.75"/>
  </r>
  <r>
    <x v="25"/>
    <x v="3"/>
    <x v="2"/>
    <x v="6"/>
    <x v="6"/>
    <n v="10"/>
    <n v="137.61000000000001"/>
    <n v="1376.1000000000001"/>
  </r>
  <r>
    <x v="26"/>
    <x v="2"/>
    <x v="2"/>
    <x v="5"/>
    <x v="6"/>
    <n v="4"/>
    <n v="610.54"/>
    <n v="2442.16"/>
  </r>
  <r>
    <x v="27"/>
    <x v="4"/>
    <x v="5"/>
    <x v="7"/>
    <x v="20"/>
    <n v="7"/>
    <n v="624.38"/>
    <n v="4370.66"/>
  </r>
  <r>
    <x v="28"/>
    <x v="2"/>
    <x v="2"/>
    <x v="2"/>
    <x v="21"/>
    <n v="5"/>
    <n v="529.52"/>
    <n v="2647.6"/>
  </r>
  <r>
    <x v="29"/>
    <x v="1"/>
    <x v="1"/>
    <x v="7"/>
    <x v="4"/>
    <n v="9"/>
    <n v="1452.03"/>
    <n v="13068.27"/>
  </r>
  <r>
    <x v="30"/>
    <x v="3"/>
    <x v="0"/>
    <x v="3"/>
    <x v="17"/>
    <n v="3"/>
    <n v="691.78"/>
    <n v="2075.34"/>
  </r>
  <r>
    <x v="31"/>
    <x v="3"/>
    <x v="0"/>
    <x v="3"/>
    <x v="10"/>
    <n v="4"/>
    <n v="1044.31"/>
    <n v="4177.24"/>
  </r>
  <r>
    <x v="32"/>
    <x v="1"/>
    <x v="4"/>
    <x v="3"/>
    <x v="19"/>
    <n v="10"/>
    <n v="916.87"/>
    <n v="9168.7000000000007"/>
  </r>
  <r>
    <x v="33"/>
    <x v="4"/>
    <x v="0"/>
    <x v="6"/>
    <x v="17"/>
    <n v="7"/>
    <n v="281.01"/>
    <n v="1967.07"/>
  </r>
  <r>
    <x v="34"/>
    <x v="1"/>
    <x v="2"/>
    <x v="6"/>
    <x v="22"/>
    <n v="9"/>
    <n v="1322.93"/>
    <n v="11906.37"/>
  </r>
  <r>
    <x v="35"/>
    <x v="1"/>
    <x v="5"/>
    <x v="3"/>
    <x v="11"/>
    <n v="4"/>
    <n v="1441.24"/>
    <n v="5764.96"/>
  </r>
  <r>
    <x v="36"/>
    <x v="0"/>
    <x v="5"/>
    <x v="6"/>
    <x v="14"/>
    <n v="4"/>
    <n v="74.849999999999994"/>
    <n v="299.39999999999998"/>
  </r>
  <r>
    <x v="37"/>
    <x v="3"/>
    <x v="4"/>
    <x v="6"/>
    <x v="23"/>
    <n v="10"/>
    <n v="1242.53"/>
    <n v="12425.3"/>
  </r>
  <r>
    <x v="38"/>
    <x v="0"/>
    <x v="2"/>
    <x v="3"/>
    <x v="2"/>
    <n v="2"/>
    <n v="63.27"/>
    <n v="126.54"/>
  </r>
  <r>
    <x v="39"/>
    <x v="0"/>
    <x v="3"/>
    <x v="2"/>
    <x v="7"/>
    <n v="6"/>
    <n v="1115.8499999999999"/>
    <n v="6695.0999999999995"/>
  </r>
  <r>
    <x v="40"/>
    <x v="3"/>
    <x v="5"/>
    <x v="0"/>
    <x v="14"/>
    <n v="1"/>
    <n v="160.01"/>
    <n v="160.01"/>
  </r>
  <r>
    <x v="41"/>
    <x v="1"/>
    <x v="2"/>
    <x v="5"/>
    <x v="5"/>
    <n v="8"/>
    <n v="1094.06"/>
    <n v="8752.48"/>
  </r>
  <r>
    <x v="42"/>
    <x v="2"/>
    <x v="0"/>
    <x v="7"/>
    <x v="0"/>
    <n v="3"/>
    <n v="1159.1500000000001"/>
    <n v="3477.4500000000003"/>
  </r>
  <r>
    <x v="43"/>
    <x v="2"/>
    <x v="1"/>
    <x v="2"/>
    <x v="24"/>
    <n v="10"/>
    <n v="1172.8499999999999"/>
    <n v="11728.5"/>
  </r>
  <r>
    <x v="44"/>
    <x v="4"/>
    <x v="5"/>
    <x v="5"/>
    <x v="11"/>
    <n v="6"/>
    <n v="1265.68"/>
    <n v="7594.08"/>
  </r>
  <r>
    <x v="45"/>
    <x v="0"/>
    <x v="2"/>
    <x v="1"/>
    <x v="2"/>
    <n v="2"/>
    <n v="1012.88"/>
    <n v="2025.76"/>
  </r>
  <r>
    <x v="46"/>
    <x v="2"/>
    <x v="2"/>
    <x v="7"/>
    <x v="2"/>
    <n v="7"/>
    <n v="397.61"/>
    <n v="2783.27"/>
  </r>
  <r>
    <x v="47"/>
    <x v="0"/>
    <x v="2"/>
    <x v="7"/>
    <x v="2"/>
    <n v="2"/>
    <n v="200.42"/>
    <n v="400.84"/>
  </r>
  <r>
    <x v="48"/>
    <x v="2"/>
    <x v="0"/>
    <x v="1"/>
    <x v="0"/>
    <n v="4"/>
    <n v="1152.99"/>
    <n v="4611.96"/>
  </r>
  <r>
    <x v="49"/>
    <x v="3"/>
    <x v="3"/>
    <x v="3"/>
    <x v="25"/>
    <n v="2"/>
    <n v="308.88"/>
    <n v="617.76"/>
  </r>
  <r>
    <x v="50"/>
    <x v="1"/>
    <x v="1"/>
    <x v="7"/>
    <x v="24"/>
    <n v="7"/>
    <n v="1391.47"/>
    <n v="9740.2900000000009"/>
  </r>
  <r>
    <x v="51"/>
    <x v="1"/>
    <x v="5"/>
    <x v="2"/>
    <x v="11"/>
    <n v="3"/>
    <n v="1372.26"/>
    <n v="4116.78"/>
  </r>
  <r>
    <x v="52"/>
    <x v="4"/>
    <x v="2"/>
    <x v="5"/>
    <x v="6"/>
    <n v="5"/>
    <n v="967.49"/>
    <n v="4837.45"/>
  </r>
  <r>
    <x v="53"/>
    <x v="3"/>
    <x v="5"/>
    <x v="5"/>
    <x v="20"/>
    <n v="2"/>
    <n v="384.9"/>
    <n v="769.8"/>
  </r>
  <r>
    <x v="54"/>
    <x v="3"/>
    <x v="3"/>
    <x v="5"/>
    <x v="3"/>
    <n v="8"/>
    <n v="280.04000000000002"/>
    <n v="2240.3200000000002"/>
  </r>
  <r>
    <x v="55"/>
    <x v="1"/>
    <x v="4"/>
    <x v="5"/>
    <x v="8"/>
    <n v="1"/>
    <n v="1426.09"/>
    <n v="1426.09"/>
  </r>
  <r>
    <x v="56"/>
    <x v="1"/>
    <x v="3"/>
    <x v="5"/>
    <x v="3"/>
    <n v="5"/>
    <n v="68.88"/>
    <n v="344.4"/>
  </r>
  <r>
    <x v="57"/>
    <x v="3"/>
    <x v="1"/>
    <x v="0"/>
    <x v="1"/>
    <n v="5"/>
    <n v="441.13"/>
    <n v="2205.65"/>
  </r>
  <r>
    <x v="58"/>
    <x v="1"/>
    <x v="3"/>
    <x v="5"/>
    <x v="26"/>
    <n v="6"/>
    <n v="1077.0899999999999"/>
    <n v="6462.5399999999991"/>
  </r>
  <r>
    <x v="59"/>
    <x v="1"/>
    <x v="3"/>
    <x v="0"/>
    <x v="26"/>
    <n v="4"/>
    <n v="1066.71"/>
    <n v="4266.84"/>
  </r>
  <r>
    <x v="60"/>
    <x v="3"/>
    <x v="4"/>
    <x v="6"/>
    <x v="27"/>
    <n v="8"/>
    <n v="817.81"/>
    <n v="6542.48"/>
  </r>
  <r>
    <x v="61"/>
    <x v="3"/>
    <x v="0"/>
    <x v="2"/>
    <x v="10"/>
    <n v="3"/>
    <n v="1251.23"/>
    <n v="3753.69"/>
  </r>
  <r>
    <x v="62"/>
    <x v="1"/>
    <x v="4"/>
    <x v="6"/>
    <x v="23"/>
    <n v="4"/>
    <n v="1106.17"/>
    <n v="4424.68"/>
  </r>
  <r>
    <x v="63"/>
    <x v="0"/>
    <x v="5"/>
    <x v="4"/>
    <x v="14"/>
    <n v="4"/>
    <n v="312.31"/>
    <n v="1249.24"/>
  </r>
  <r>
    <x v="64"/>
    <x v="0"/>
    <x v="5"/>
    <x v="6"/>
    <x v="14"/>
    <n v="8"/>
    <n v="553.84"/>
    <n v="4430.72"/>
  </r>
  <r>
    <x v="65"/>
    <x v="0"/>
    <x v="1"/>
    <x v="1"/>
    <x v="4"/>
    <n v="4"/>
    <n v="385.36"/>
    <n v="1541.44"/>
  </r>
  <r>
    <x v="66"/>
    <x v="2"/>
    <x v="4"/>
    <x v="3"/>
    <x v="12"/>
    <n v="10"/>
    <n v="854.28"/>
    <n v="8542.7999999999993"/>
  </r>
  <r>
    <x v="67"/>
    <x v="0"/>
    <x v="1"/>
    <x v="2"/>
    <x v="24"/>
    <n v="9"/>
    <n v="189.32"/>
    <n v="1703.8799999999999"/>
  </r>
  <r>
    <x v="68"/>
    <x v="3"/>
    <x v="5"/>
    <x v="1"/>
    <x v="14"/>
    <n v="2"/>
    <n v="485.97"/>
    <n v="971.94"/>
  </r>
  <r>
    <x v="69"/>
    <x v="4"/>
    <x v="5"/>
    <x v="6"/>
    <x v="11"/>
    <n v="4"/>
    <n v="948.87"/>
    <n v="3795.48"/>
  </r>
  <r>
    <x v="70"/>
    <x v="2"/>
    <x v="0"/>
    <x v="3"/>
    <x v="10"/>
    <n v="9"/>
    <n v="1223.9100000000001"/>
    <n v="11015.19"/>
  </r>
  <r>
    <x v="71"/>
    <x v="4"/>
    <x v="2"/>
    <x v="6"/>
    <x v="22"/>
    <n v="4"/>
    <n v="258.83999999999997"/>
    <n v="1035.3599999999999"/>
  </r>
  <r>
    <x v="72"/>
    <x v="1"/>
    <x v="5"/>
    <x v="4"/>
    <x v="28"/>
    <n v="8"/>
    <n v="429.77"/>
    <n v="3438.16"/>
  </r>
  <r>
    <x v="73"/>
    <x v="4"/>
    <x v="2"/>
    <x v="5"/>
    <x v="6"/>
    <n v="2"/>
    <n v="1210.24"/>
    <n v="2420.48"/>
  </r>
  <r>
    <x v="74"/>
    <x v="0"/>
    <x v="2"/>
    <x v="7"/>
    <x v="6"/>
    <n v="2"/>
    <n v="239.95"/>
    <n v="479.9"/>
  </r>
  <r>
    <x v="75"/>
    <x v="0"/>
    <x v="3"/>
    <x v="0"/>
    <x v="26"/>
    <n v="2"/>
    <n v="186.58"/>
    <n v="373.16"/>
  </r>
  <r>
    <x v="76"/>
    <x v="2"/>
    <x v="4"/>
    <x v="3"/>
    <x v="8"/>
    <n v="8"/>
    <n v="298.54000000000002"/>
    <n v="2388.3200000000002"/>
  </r>
  <r>
    <x v="77"/>
    <x v="1"/>
    <x v="3"/>
    <x v="3"/>
    <x v="25"/>
    <n v="10"/>
    <n v="784.21"/>
    <n v="7842.1"/>
  </r>
  <r>
    <x v="78"/>
    <x v="2"/>
    <x v="2"/>
    <x v="1"/>
    <x v="6"/>
    <n v="10"/>
    <n v="1097.97"/>
    <n v="10979.7"/>
  </r>
  <r>
    <x v="79"/>
    <x v="3"/>
    <x v="5"/>
    <x v="1"/>
    <x v="18"/>
    <n v="1"/>
    <n v="1293.24"/>
    <n v="1293.24"/>
  </r>
  <r>
    <x v="80"/>
    <x v="0"/>
    <x v="3"/>
    <x v="0"/>
    <x v="7"/>
    <n v="2"/>
    <n v="1326.18"/>
    <n v="2652.36"/>
  </r>
  <r>
    <x v="81"/>
    <x v="1"/>
    <x v="3"/>
    <x v="6"/>
    <x v="15"/>
    <n v="7"/>
    <n v="1470.51"/>
    <n v="10293.57"/>
  </r>
  <r>
    <x v="82"/>
    <x v="3"/>
    <x v="2"/>
    <x v="7"/>
    <x v="5"/>
    <n v="7"/>
    <n v="847.93"/>
    <n v="5935.5099999999993"/>
  </r>
  <r>
    <x v="83"/>
    <x v="0"/>
    <x v="0"/>
    <x v="0"/>
    <x v="9"/>
    <n v="6"/>
    <n v="1002.34"/>
    <n v="6014.04"/>
  </r>
  <r>
    <x v="84"/>
    <x v="3"/>
    <x v="2"/>
    <x v="3"/>
    <x v="21"/>
    <n v="9"/>
    <n v="92.72"/>
    <n v="834.48"/>
  </r>
  <r>
    <x v="85"/>
    <x v="1"/>
    <x v="1"/>
    <x v="7"/>
    <x v="4"/>
    <n v="1"/>
    <n v="1233.1400000000001"/>
    <n v="1233.1400000000001"/>
  </r>
  <r>
    <x v="86"/>
    <x v="1"/>
    <x v="1"/>
    <x v="4"/>
    <x v="16"/>
    <n v="6"/>
    <n v="711.2"/>
    <n v="4267.2000000000007"/>
  </r>
  <r>
    <x v="87"/>
    <x v="4"/>
    <x v="1"/>
    <x v="0"/>
    <x v="24"/>
    <n v="3"/>
    <n v="1497.11"/>
    <n v="4491.33"/>
  </r>
  <r>
    <x v="88"/>
    <x v="4"/>
    <x v="4"/>
    <x v="1"/>
    <x v="8"/>
    <n v="7"/>
    <n v="733.48"/>
    <n v="5134.3600000000006"/>
  </r>
  <r>
    <x v="89"/>
    <x v="3"/>
    <x v="1"/>
    <x v="5"/>
    <x v="1"/>
    <n v="5"/>
    <n v="526.96"/>
    <n v="2634.8"/>
  </r>
  <r>
    <x v="90"/>
    <x v="3"/>
    <x v="5"/>
    <x v="7"/>
    <x v="14"/>
    <n v="9"/>
    <n v="1131.6500000000001"/>
    <n v="10184.85"/>
  </r>
  <r>
    <x v="91"/>
    <x v="2"/>
    <x v="3"/>
    <x v="7"/>
    <x v="3"/>
    <n v="6"/>
    <n v="328.21"/>
    <n v="1969.2599999999998"/>
  </r>
  <r>
    <x v="92"/>
    <x v="4"/>
    <x v="2"/>
    <x v="7"/>
    <x v="22"/>
    <n v="2"/>
    <n v="373.38"/>
    <n v="746.76"/>
  </r>
  <r>
    <x v="93"/>
    <x v="4"/>
    <x v="0"/>
    <x v="1"/>
    <x v="10"/>
    <n v="1"/>
    <n v="380.68"/>
    <n v="380.68"/>
  </r>
  <r>
    <x v="94"/>
    <x v="2"/>
    <x v="1"/>
    <x v="2"/>
    <x v="13"/>
    <n v="2"/>
    <n v="1461.64"/>
    <n v="2923.28"/>
  </r>
  <r>
    <x v="95"/>
    <x v="4"/>
    <x v="4"/>
    <x v="5"/>
    <x v="27"/>
    <n v="1"/>
    <n v="1304.1099999999999"/>
    <n v="1304.1099999999999"/>
  </r>
  <r>
    <x v="96"/>
    <x v="4"/>
    <x v="3"/>
    <x v="7"/>
    <x v="3"/>
    <n v="4"/>
    <n v="242.72"/>
    <n v="970.88"/>
  </r>
  <r>
    <x v="97"/>
    <x v="4"/>
    <x v="0"/>
    <x v="6"/>
    <x v="0"/>
    <n v="8"/>
    <n v="1099.96"/>
    <n v="8799.68"/>
  </r>
  <r>
    <x v="98"/>
    <x v="0"/>
    <x v="0"/>
    <x v="2"/>
    <x v="9"/>
    <n v="4"/>
    <n v="1253.25"/>
    <n v="5013"/>
  </r>
  <r>
    <x v="99"/>
    <x v="2"/>
    <x v="4"/>
    <x v="2"/>
    <x v="8"/>
    <n v="3"/>
    <n v="1019.2"/>
    <n v="3057.6000000000004"/>
  </r>
  <r>
    <x v="100"/>
    <x v="2"/>
    <x v="4"/>
    <x v="0"/>
    <x v="23"/>
    <n v="5"/>
    <n v="626.76"/>
    <n v="3133.8"/>
  </r>
  <r>
    <x v="101"/>
    <x v="3"/>
    <x v="2"/>
    <x v="0"/>
    <x v="6"/>
    <n v="1"/>
    <n v="121.12"/>
    <n v="121.12"/>
  </r>
  <r>
    <x v="102"/>
    <x v="0"/>
    <x v="5"/>
    <x v="6"/>
    <x v="20"/>
    <n v="4"/>
    <n v="1385.47"/>
    <n v="5541.88"/>
  </r>
  <r>
    <x v="103"/>
    <x v="3"/>
    <x v="3"/>
    <x v="6"/>
    <x v="25"/>
    <n v="10"/>
    <n v="437.48"/>
    <n v="4374.8"/>
  </r>
  <r>
    <x v="104"/>
    <x v="0"/>
    <x v="3"/>
    <x v="3"/>
    <x v="7"/>
    <n v="7"/>
    <n v="55.81"/>
    <n v="390.67"/>
  </r>
  <r>
    <x v="105"/>
    <x v="1"/>
    <x v="3"/>
    <x v="1"/>
    <x v="7"/>
    <n v="8"/>
    <n v="518.47"/>
    <n v="4147.76"/>
  </r>
  <r>
    <x v="106"/>
    <x v="2"/>
    <x v="2"/>
    <x v="7"/>
    <x v="22"/>
    <n v="5"/>
    <n v="620.61"/>
    <n v="3103.05"/>
  </r>
  <r>
    <x v="107"/>
    <x v="2"/>
    <x v="5"/>
    <x v="2"/>
    <x v="14"/>
    <n v="10"/>
    <n v="188.31"/>
    <n v="1883.1"/>
  </r>
  <r>
    <x v="108"/>
    <x v="1"/>
    <x v="4"/>
    <x v="2"/>
    <x v="12"/>
    <n v="4"/>
    <n v="1246.4000000000001"/>
    <n v="4985.6000000000004"/>
  </r>
  <r>
    <x v="109"/>
    <x v="0"/>
    <x v="4"/>
    <x v="5"/>
    <x v="23"/>
    <n v="8"/>
    <n v="447.35"/>
    <n v="3578.8"/>
  </r>
  <r>
    <x v="110"/>
    <x v="0"/>
    <x v="2"/>
    <x v="1"/>
    <x v="5"/>
    <n v="8"/>
    <n v="521.35"/>
    <n v="4170.8"/>
  </r>
  <r>
    <x v="111"/>
    <x v="1"/>
    <x v="0"/>
    <x v="7"/>
    <x v="0"/>
    <n v="3"/>
    <n v="522.1"/>
    <n v="1566.3000000000002"/>
  </r>
  <r>
    <x v="112"/>
    <x v="2"/>
    <x v="4"/>
    <x v="6"/>
    <x v="23"/>
    <n v="2"/>
    <n v="893.07"/>
    <n v="1786.14"/>
  </r>
  <r>
    <x v="113"/>
    <x v="0"/>
    <x v="0"/>
    <x v="1"/>
    <x v="9"/>
    <n v="3"/>
    <n v="950.52"/>
    <n v="2851.56"/>
  </r>
  <r>
    <x v="114"/>
    <x v="0"/>
    <x v="2"/>
    <x v="6"/>
    <x v="5"/>
    <n v="3"/>
    <n v="1128.8699999999999"/>
    <n v="3386.6099999999997"/>
  </r>
  <r>
    <x v="115"/>
    <x v="0"/>
    <x v="4"/>
    <x v="1"/>
    <x v="12"/>
    <n v="1"/>
    <n v="1370.4"/>
    <n v="1370.4"/>
  </r>
  <r>
    <x v="116"/>
    <x v="0"/>
    <x v="5"/>
    <x v="0"/>
    <x v="14"/>
    <n v="5"/>
    <n v="1299.03"/>
    <n v="6495.15"/>
  </r>
  <r>
    <x v="117"/>
    <x v="3"/>
    <x v="0"/>
    <x v="6"/>
    <x v="10"/>
    <n v="1"/>
    <n v="221.11"/>
    <n v="221.11"/>
  </r>
  <r>
    <x v="118"/>
    <x v="4"/>
    <x v="0"/>
    <x v="3"/>
    <x v="0"/>
    <n v="10"/>
    <n v="1124"/>
    <n v="11240"/>
  </r>
  <r>
    <x v="119"/>
    <x v="1"/>
    <x v="5"/>
    <x v="3"/>
    <x v="20"/>
    <n v="1"/>
    <n v="852.51"/>
    <n v="852.51"/>
  </r>
  <r>
    <x v="120"/>
    <x v="0"/>
    <x v="4"/>
    <x v="2"/>
    <x v="23"/>
    <n v="10"/>
    <n v="1053.3"/>
    <n v="10533"/>
  </r>
  <r>
    <x v="121"/>
    <x v="3"/>
    <x v="2"/>
    <x v="7"/>
    <x v="5"/>
    <n v="5"/>
    <n v="1146.79"/>
    <n v="5733.95"/>
  </r>
  <r>
    <x v="122"/>
    <x v="1"/>
    <x v="4"/>
    <x v="3"/>
    <x v="23"/>
    <n v="9"/>
    <n v="699.9"/>
    <n v="6299.0999999999995"/>
  </r>
  <r>
    <x v="123"/>
    <x v="0"/>
    <x v="2"/>
    <x v="7"/>
    <x v="21"/>
    <n v="2"/>
    <n v="244.6"/>
    <n v="489.2"/>
  </r>
  <r>
    <x v="124"/>
    <x v="2"/>
    <x v="2"/>
    <x v="6"/>
    <x v="21"/>
    <n v="5"/>
    <n v="413.19"/>
    <n v="2065.9499999999998"/>
  </r>
  <r>
    <x v="125"/>
    <x v="3"/>
    <x v="5"/>
    <x v="6"/>
    <x v="28"/>
    <n v="3"/>
    <n v="242.75"/>
    <n v="728.25"/>
  </r>
  <r>
    <x v="126"/>
    <x v="4"/>
    <x v="3"/>
    <x v="3"/>
    <x v="26"/>
    <n v="6"/>
    <n v="415.84"/>
    <n v="2495.04"/>
  </r>
  <r>
    <x v="127"/>
    <x v="4"/>
    <x v="1"/>
    <x v="2"/>
    <x v="13"/>
    <n v="6"/>
    <n v="272.99"/>
    <n v="1637.94"/>
  </r>
  <r>
    <x v="128"/>
    <x v="0"/>
    <x v="3"/>
    <x v="2"/>
    <x v="7"/>
    <n v="1"/>
    <n v="333"/>
    <n v="333"/>
  </r>
  <r>
    <x v="129"/>
    <x v="0"/>
    <x v="0"/>
    <x v="2"/>
    <x v="29"/>
    <n v="1"/>
    <n v="550.97"/>
    <n v="550.97"/>
  </r>
  <r>
    <x v="130"/>
    <x v="4"/>
    <x v="1"/>
    <x v="7"/>
    <x v="1"/>
    <n v="8"/>
    <n v="1102.3499999999999"/>
    <n v="8818.7999999999993"/>
  </r>
  <r>
    <x v="131"/>
    <x v="4"/>
    <x v="0"/>
    <x v="6"/>
    <x v="0"/>
    <n v="6"/>
    <n v="893.93"/>
    <n v="5363.58"/>
  </r>
  <r>
    <x v="132"/>
    <x v="1"/>
    <x v="4"/>
    <x v="1"/>
    <x v="27"/>
    <n v="3"/>
    <n v="1419.71"/>
    <n v="4259.13"/>
  </r>
  <r>
    <x v="133"/>
    <x v="4"/>
    <x v="5"/>
    <x v="7"/>
    <x v="11"/>
    <n v="7"/>
    <n v="799.18"/>
    <n v="5594.2599999999993"/>
  </r>
  <r>
    <x v="134"/>
    <x v="0"/>
    <x v="0"/>
    <x v="7"/>
    <x v="29"/>
    <n v="5"/>
    <n v="1037.23"/>
    <n v="5186.1499999999996"/>
  </r>
  <r>
    <x v="135"/>
    <x v="3"/>
    <x v="4"/>
    <x v="6"/>
    <x v="23"/>
    <n v="5"/>
    <n v="410.73"/>
    <n v="2053.65"/>
  </r>
  <r>
    <x v="136"/>
    <x v="1"/>
    <x v="3"/>
    <x v="6"/>
    <x v="15"/>
    <n v="5"/>
    <n v="1103.42"/>
    <n v="5517.1"/>
  </r>
  <r>
    <x v="137"/>
    <x v="0"/>
    <x v="4"/>
    <x v="7"/>
    <x v="12"/>
    <n v="10"/>
    <n v="901.73"/>
    <n v="9017.2999999999993"/>
  </r>
  <r>
    <x v="138"/>
    <x v="1"/>
    <x v="1"/>
    <x v="0"/>
    <x v="4"/>
    <n v="5"/>
    <n v="1341.51"/>
    <n v="6707.55"/>
  </r>
  <r>
    <x v="139"/>
    <x v="0"/>
    <x v="3"/>
    <x v="7"/>
    <x v="25"/>
    <n v="4"/>
    <n v="144.79"/>
    <n v="579.16"/>
  </r>
  <r>
    <x v="140"/>
    <x v="1"/>
    <x v="4"/>
    <x v="0"/>
    <x v="23"/>
    <n v="3"/>
    <n v="638.66"/>
    <n v="1915.98"/>
  </r>
  <r>
    <x v="141"/>
    <x v="1"/>
    <x v="4"/>
    <x v="1"/>
    <x v="27"/>
    <n v="10"/>
    <n v="647.66999999999996"/>
    <n v="6476.7"/>
  </r>
  <r>
    <x v="142"/>
    <x v="2"/>
    <x v="5"/>
    <x v="2"/>
    <x v="28"/>
    <n v="5"/>
    <n v="938.49"/>
    <n v="4692.45"/>
  </r>
  <r>
    <x v="143"/>
    <x v="2"/>
    <x v="2"/>
    <x v="1"/>
    <x v="6"/>
    <n v="3"/>
    <n v="33.200000000000003"/>
    <n v="99.600000000000009"/>
  </r>
  <r>
    <x v="144"/>
    <x v="0"/>
    <x v="5"/>
    <x v="7"/>
    <x v="18"/>
    <n v="8"/>
    <n v="1453.51"/>
    <n v="11628.08"/>
  </r>
  <r>
    <x v="145"/>
    <x v="3"/>
    <x v="3"/>
    <x v="6"/>
    <x v="7"/>
    <n v="6"/>
    <n v="109.18"/>
    <n v="655.08000000000004"/>
  </r>
  <r>
    <x v="146"/>
    <x v="0"/>
    <x v="3"/>
    <x v="6"/>
    <x v="26"/>
    <n v="3"/>
    <n v="1181.17"/>
    <n v="3543.51"/>
  </r>
  <r>
    <x v="147"/>
    <x v="4"/>
    <x v="0"/>
    <x v="0"/>
    <x v="0"/>
    <n v="1"/>
    <n v="540.91"/>
    <n v="540.91"/>
  </r>
  <r>
    <x v="148"/>
    <x v="0"/>
    <x v="3"/>
    <x v="0"/>
    <x v="3"/>
    <n v="9"/>
    <n v="819.05"/>
    <n v="7371.45"/>
  </r>
  <r>
    <x v="149"/>
    <x v="3"/>
    <x v="5"/>
    <x v="0"/>
    <x v="20"/>
    <n v="4"/>
    <n v="48.45"/>
    <n v="193.8"/>
  </r>
  <r>
    <x v="150"/>
    <x v="4"/>
    <x v="1"/>
    <x v="4"/>
    <x v="24"/>
    <n v="9"/>
    <n v="660.8"/>
    <n v="5947.2"/>
  </r>
  <r>
    <x v="151"/>
    <x v="0"/>
    <x v="3"/>
    <x v="1"/>
    <x v="7"/>
    <n v="1"/>
    <n v="528.01"/>
    <n v="528.01"/>
  </r>
  <r>
    <x v="152"/>
    <x v="0"/>
    <x v="1"/>
    <x v="2"/>
    <x v="24"/>
    <n v="4"/>
    <n v="753.11"/>
    <n v="3012.44"/>
  </r>
  <r>
    <x v="153"/>
    <x v="1"/>
    <x v="1"/>
    <x v="5"/>
    <x v="13"/>
    <n v="5"/>
    <n v="1169.3499999999999"/>
    <n v="5846.75"/>
  </r>
  <r>
    <x v="154"/>
    <x v="4"/>
    <x v="0"/>
    <x v="1"/>
    <x v="29"/>
    <n v="3"/>
    <n v="1296.8699999999999"/>
    <n v="3890.6099999999997"/>
  </r>
  <r>
    <x v="155"/>
    <x v="4"/>
    <x v="3"/>
    <x v="4"/>
    <x v="25"/>
    <n v="9"/>
    <n v="676.9"/>
    <n v="6092.0999999999995"/>
  </r>
  <r>
    <x v="156"/>
    <x v="1"/>
    <x v="4"/>
    <x v="4"/>
    <x v="19"/>
    <n v="8"/>
    <n v="198.09"/>
    <n v="1584.72"/>
  </r>
  <r>
    <x v="157"/>
    <x v="1"/>
    <x v="0"/>
    <x v="2"/>
    <x v="17"/>
    <n v="2"/>
    <n v="620.5"/>
    <n v="1241"/>
  </r>
  <r>
    <x v="158"/>
    <x v="1"/>
    <x v="2"/>
    <x v="6"/>
    <x v="2"/>
    <n v="7"/>
    <n v="1212.0999999999999"/>
    <n v="8484.6999999999989"/>
  </r>
  <r>
    <x v="159"/>
    <x v="3"/>
    <x v="3"/>
    <x v="1"/>
    <x v="26"/>
    <n v="2"/>
    <n v="1249.73"/>
    <n v="2499.46"/>
  </r>
  <r>
    <x v="160"/>
    <x v="1"/>
    <x v="4"/>
    <x v="1"/>
    <x v="27"/>
    <n v="7"/>
    <n v="1248.3599999999999"/>
    <n v="8738.5199999999986"/>
  </r>
  <r>
    <x v="161"/>
    <x v="3"/>
    <x v="4"/>
    <x v="4"/>
    <x v="12"/>
    <n v="10"/>
    <n v="945.38"/>
    <n v="9453.7999999999993"/>
  </r>
  <r>
    <x v="162"/>
    <x v="3"/>
    <x v="1"/>
    <x v="2"/>
    <x v="16"/>
    <n v="6"/>
    <n v="1442.78"/>
    <n v="8656.68"/>
  </r>
  <r>
    <x v="163"/>
    <x v="1"/>
    <x v="2"/>
    <x v="6"/>
    <x v="22"/>
    <n v="3"/>
    <n v="1473.55"/>
    <n v="4420.6499999999996"/>
  </r>
  <r>
    <x v="164"/>
    <x v="0"/>
    <x v="5"/>
    <x v="7"/>
    <x v="28"/>
    <n v="4"/>
    <n v="139.83000000000001"/>
    <n v="559.32000000000005"/>
  </r>
  <r>
    <x v="165"/>
    <x v="3"/>
    <x v="3"/>
    <x v="0"/>
    <x v="3"/>
    <n v="1"/>
    <n v="1446.13"/>
    <n v="1446.13"/>
  </r>
  <r>
    <x v="166"/>
    <x v="1"/>
    <x v="4"/>
    <x v="1"/>
    <x v="23"/>
    <n v="9"/>
    <n v="826.89"/>
    <n v="7442.01"/>
  </r>
  <r>
    <x v="167"/>
    <x v="1"/>
    <x v="2"/>
    <x v="6"/>
    <x v="22"/>
    <n v="5"/>
    <n v="191.61"/>
    <n v="958.05000000000007"/>
  </r>
  <r>
    <x v="168"/>
    <x v="4"/>
    <x v="1"/>
    <x v="3"/>
    <x v="13"/>
    <n v="5"/>
    <n v="1164.1300000000001"/>
    <n v="5820.6500000000005"/>
  </r>
  <r>
    <x v="169"/>
    <x v="3"/>
    <x v="0"/>
    <x v="4"/>
    <x v="10"/>
    <n v="3"/>
    <n v="320.64"/>
    <n v="961.92"/>
  </r>
  <r>
    <x v="170"/>
    <x v="0"/>
    <x v="1"/>
    <x v="6"/>
    <x v="16"/>
    <n v="4"/>
    <n v="984.64"/>
    <n v="3938.56"/>
  </r>
  <r>
    <x v="171"/>
    <x v="2"/>
    <x v="0"/>
    <x v="6"/>
    <x v="10"/>
    <n v="2"/>
    <n v="200.95"/>
    <n v="401.9"/>
  </r>
  <r>
    <x v="172"/>
    <x v="4"/>
    <x v="5"/>
    <x v="4"/>
    <x v="18"/>
    <n v="1"/>
    <n v="157.57"/>
    <n v="157.57"/>
  </r>
  <r>
    <x v="173"/>
    <x v="0"/>
    <x v="1"/>
    <x v="0"/>
    <x v="1"/>
    <n v="9"/>
    <n v="376.64"/>
    <n v="3389.7599999999998"/>
  </r>
  <r>
    <x v="174"/>
    <x v="4"/>
    <x v="4"/>
    <x v="1"/>
    <x v="27"/>
    <n v="8"/>
    <n v="744.61"/>
    <n v="5956.88"/>
  </r>
  <r>
    <x v="175"/>
    <x v="4"/>
    <x v="3"/>
    <x v="3"/>
    <x v="15"/>
    <n v="4"/>
    <n v="675.25"/>
    <n v="2701"/>
  </r>
  <r>
    <x v="176"/>
    <x v="2"/>
    <x v="0"/>
    <x v="2"/>
    <x v="10"/>
    <n v="9"/>
    <n v="1131.5999999999999"/>
    <n v="10184.4"/>
  </r>
  <r>
    <x v="177"/>
    <x v="3"/>
    <x v="2"/>
    <x v="6"/>
    <x v="22"/>
    <n v="3"/>
    <n v="237.33"/>
    <n v="711.99"/>
  </r>
  <r>
    <x v="178"/>
    <x v="3"/>
    <x v="2"/>
    <x v="6"/>
    <x v="5"/>
    <n v="2"/>
    <n v="801.93"/>
    <n v="1603.86"/>
  </r>
  <r>
    <x v="179"/>
    <x v="1"/>
    <x v="0"/>
    <x v="7"/>
    <x v="29"/>
    <n v="7"/>
    <n v="886.14"/>
    <n v="6202.98"/>
  </r>
  <r>
    <x v="180"/>
    <x v="4"/>
    <x v="1"/>
    <x v="2"/>
    <x v="24"/>
    <n v="9"/>
    <n v="1496.71"/>
    <n v="13470.39"/>
  </r>
  <r>
    <x v="181"/>
    <x v="1"/>
    <x v="0"/>
    <x v="6"/>
    <x v="0"/>
    <n v="8"/>
    <n v="1312.58"/>
    <n v="10500.64"/>
  </r>
  <r>
    <x v="182"/>
    <x v="4"/>
    <x v="5"/>
    <x v="1"/>
    <x v="11"/>
    <n v="9"/>
    <n v="66.67"/>
    <n v="600.03"/>
  </r>
  <r>
    <x v="183"/>
    <x v="2"/>
    <x v="2"/>
    <x v="5"/>
    <x v="21"/>
    <n v="5"/>
    <n v="41.8"/>
    <n v="209"/>
  </r>
  <r>
    <x v="184"/>
    <x v="3"/>
    <x v="1"/>
    <x v="6"/>
    <x v="24"/>
    <n v="5"/>
    <n v="461.91"/>
    <n v="2309.5500000000002"/>
  </r>
  <r>
    <x v="185"/>
    <x v="4"/>
    <x v="2"/>
    <x v="0"/>
    <x v="2"/>
    <n v="5"/>
    <n v="951.61"/>
    <n v="4758.05"/>
  </r>
  <r>
    <x v="186"/>
    <x v="1"/>
    <x v="3"/>
    <x v="0"/>
    <x v="3"/>
    <n v="6"/>
    <n v="1232.6099999999999"/>
    <n v="7395.66"/>
  </r>
  <r>
    <x v="187"/>
    <x v="2"/>
    <x v="2"/>
    <x v="6"/>
    <x v="6"/>
    <n v="5"/>
    <n v="780.75"/>
    <n v="3903.75"/>
  </r>
  <r>
    <x v="188"/>
    <x v="4"/>
    <x v="0"/>
    <x v="0"/>
    <x v="0"/>
    <n v="5"/>
    <n v="741.27"/>
    <n v="3706.35"/>
  </r>
  <r>
    <x v="189"/>
    <x v="2"/>
    <x v="2"/>
    <x v="6"/>
    <x v="22"/>
    <n v="1"/>
    <n v="1485.35"/>
    <n v="1485.35"/>
  </r>
  <r>
    <x v="190"/>
    <x v="2"/>
    <x v="0"/>
    <x v="5"/>
    <x v="17"/>
    <n v="3"/>
    <n v="1081.54"/>
    <n v="3244.62"/>
  </r>
  <r>
    <x v="191"/>
    <x v="1"/>
    <x v="1"/>
    <x v="5"/>
    <x v="1"/>
    <n v="2"/>
    <n v="791.51"/>
    <n v="1583.02"/>
  </r>
  <r>
    <x v="192"/>
    <x v="1"/>
    <x v="4"/>
    <x v="0"/>
    <x v="23"/>
    <n v="5"/>
    <n v="836.01"/>
    <n v="4180.05"/>
  </r>
  <r>
    <x v="193"/>
    <x v="3"/>
    <x v="4"/>
    <x v="4"/>
    <x v="12"/>
    <n v="9"/>
    <n v="717.73"/>
    <n v="6459.57"/>
  </r>
  <r>
    <x v="194"/>
    <x v="3"/>
    <x v="5"/>
    <x v="1"/>
    <x v="20"/>
    <n v="7"/>
    <n v="1426.46"/>
    <n v="9985.2200000000012"/>
  </r>
  <r>
    <x v="195"/>
    <x v="4"/>
    <x v="3"/>
    <x v="7"/>
    <x v="15"/>
    <n v="2"/>
    <n v="1499.62"/>
    <n v="2999.24"/>
  </r>
  <r>
    <x v="196"/>
    <x v="2"/>
    <x v="0"/>
    <x v="2"/>
    <x v="17"/>
    <n v="3"/>
    <n v="154.88999999999999"/>
    <n v="464.66999999999996"/>
  </r>
  <r>
    <x v="197"/>
    <x v="1"/>
    <x v="3"/>
    <x v="7"/>
    <x v="7"/>
    <n v="4"/>
    <n v="1409.34"/>
    <n v="5637.36"/>
  </r>
  <r>
    <x v="198"/>
    <x v="3"/>
    <x v="3"/>
    <x v="1"/>
    <x v="15"/>
    <n v="8"/>
    <n v="1146.4100000000001"/>
    <n v="9171.2800000000007"/>
  </r>
  <r>
    <x v="199"/>
    <x v="3"/>
    <x v="1"/>
    <x v="5"/>
    <x v="16"/>
    <n v="8"/>
    <n v="298.57"/>
    <n v="2388.56"/>
  </r>
  <r>
    <x v="200"/>
    <x v="3"/>
    <x v="5"/>
    <x v="4"/>
    <x v="20"/>
    <n v="6"/>
    <n v="1244.3800000000001"/>
    <n v="7466.2800000000007"/>
  </r>
  <r>
    <x v="201"/>
    <x v="0"/>
    <x v="0"/>
    <x v="0"/>
    <x v="29"/>
    <n v="1"/>
    <n v="423.89"/>
    <n v="423.89"/>
  </r>
  <r>
    <x v="202"/>
    <x v="0"/>
    <x v="2"/>
    <x v="6"/>
    <x v="6"/>
    <n v="9"/>
    <n v="708.63"/>
    <n v="6377.67"/>
  </r>
  <r>
    <x v="203"/>
    <x v="3"/>
    <x v="3"/>
    <x v="3"/>
    <x v="26"/>
    <n v="6"/>
    <n v="356.97"/>
    <n v="2141.8200000000002"/>
  </r>
  <r>
    <x v="204"/>
    <x v="0"/>
    <x v="0"/>
    <x v="4"/>
    <x v="0"/>
    <n v="5"/>
    <n v="1254.18"/>
    <n v="6270.9000000000005"/>
  </r>
  <r>
    <x v="205"/>
    <x v="0"/>
    <x v="2"/>
    <x v="3"/>
    <x v="2"/>
    <n v="10"/>
    <n v="910.46"/>
    <n v="9104.6"/>
  </r>
  <r>
    <x v="206"/>
    <x v="0"/>
    <x v="3"/>
    <x v="0"/>
    <x v="25"/>
    <n v="3"/>
    <n v="89.2"/>
    <n v="267.60000000000002"/>
  </r>
  <r>
    <x v="207"/>
    <x v="3"/>
    <x v="3"/>
    <x v="0"/>
    <x v="3"/>
    <n v="1"/>
    <n v="784.12"/>
    <n v="784.12"/>
  </r>
  <r>
    <x v="208"/>
    <x v="0"/>
    <x v="2"/>
    <x v="1"/>
    <x v="2"/>
    <n v="10"/>
    <n v="993.99"/>
    <n v="9939.9"/>
  </r>
  <r>
    <x v="209"/>
    <x v="4"/>
    <x v="2"/>
    <x v="7"/>
    <x v="21"/>
    <n v="5"/>
    <n v="1144.18"/>
    <n v="5720.9000000000005"/>
  </r>
  <r>
    <x v="210"/>
    <x v="2"/>
    <x v="2"/>
    <x v="5"/>
    <x v="22"/>
    <n v="3"/>
    <n v="59.73"/>
    <n v="179.19"/>
  </r>
  <r>
    <x v="211"/>
    <x v="3"/>
    <x v="3"/>
    <x v="0"/>
    <x v="3"/>
    <n v="4"/>
    <n v="1004.96"/>
    <n v="4019.84"/>
  </r>
  <r>
    <x v="212"/>
    <x v="4"/>
    <x v="4"/>
    <x v="5"/>
    <x v="27"/>
    <n v="8"/>
    <n v="1171.26"/>
    <n v="9370.08"/>
  </r>
  <r>
    <x v="213"/>
    <x v="0"/>
    <x v="5"/>
    <x v="4"/>
    <x v="28"/>
    <n v="9"/>
    <n v="198.88"/>
    <n v="1789.92"/>
  </r>
  <r>
    <x v="214"/>
    <x v="3"/>
    <x v="1"/>
    <x v="1"/>
    <x v="1"/>
    <n v="7"/>
    <n v="1445.49"/>
    <n v="10118.43"/>
  </r>
  <r>
    <x v="215"/>
    <x v="2"/>
    <x v="0"/>
    <x v="6"/>
    <x v="10"/>
    <n v="3"/>
    <n v="1358.17"/>
    <n v="4074.51"/>
  </r>
  <r>
    <x v="216"/>
    <x v="4"/>
    <x v="2"/>
    <x v="0"/>
    <x v="2"/>
    <n v="6"/>
    <n v="1155.1199999999999"/>
    <n v="6930.7199999999993"/>
  </r>
  <r>
    <x v="217"/>
    <x v="3"/>
    <x v="1"/>
    <x v="4"/>
    <x v="16"/>
    <n v="6"/>
    <n v="258.88"/>
    <n v="1553.28"/>
  </r>
  <r>
    <x v="218"/>
    <x v="3"/>
    <x v="4"/>
    <x v="4"/>
    <x v="8"/>
    <n v="3"/>
    <n v="703.91"/>
    <n v="2111.73"/>
  </r>
  <r>
    <x v="219"/>
    <x v="2"/>
    <x v="0"/>
    <x v="4"/>
    <x v="17"/>
    <n v="6"/>
    <n v="740.1"/>
    <n v="4440.6000000000004"/>
  </r>
  <r>
    <x v="220"/>
    <x v="3"/>
    <x v="1"/>
    <x v="7"/>
    <x v="1"/>
    <n v="6"/>
    <n v="133.55000000000001"/>
    <n v="801.30000000000007"/>
  </r>
  <r>
    <x v="221"/>
    <x v="1"/>
    <x v="5"/>
    <x v="1"/>
    <x v="20"/>
    <n v="4"/>
    <n v="557.94000000000005"/>
    <n v="2231.7600000000002"/>
  </r>
  <r>
    <x v="222"/>
    <x v="1"/>
    <x v="5"/>
    <x v="3"/>
    <x v="20"/>
    <n v="7"/>
    <n v="714.73"/>
    <n v="5003.1100000000006"/>
  </r>
  <r>
    <x v="223"/>
    <x v="4"/>
    <x v="3"/>
    <x v="1"/>
    <x v="3"/>
    <n v="3"/>
    <n v="167.52"/>
    <n v="502.56000000000006"/>
  </r>
  <r>
    <x v="224"/>
    <x v="4"/>
    <x v="2"/>
    <x v="2"/>
    <x v="22"/>
    <n v="8"/>
    <n v="1167.1600000000001"/>
    <n v="9337.2800000000007"/>
  </r>
  <r>
    <x v="225"/>
    <x v="4"/>
    <x v="0"/>
    <x v="0"/>
    <x v="10"/>
    <n v="4"/>
    <n v="1063.99"/>
    <n v="4255.96"/>
  </r>
  <r>
    <x v="226"/>
    <x v="2"/>
    <x v="0"/>
    <x v="1"/>
    <x v="29"/>
    <n v="6"/>
    <n v="1075.54"/>
    <n v="6453.24"/>
  </r>
  <r>
    <x v="227"/>
    <x v="0"/>
    <x v="1"/>
    <x v="6"/>
    <x v="1"/>
    <n v="8"/>
    <n v="923.37"/>
    <n v="7386.96"/>
  </r>
  <r>
    <x v="228"/>
    <x v="1"/>
    <x v="5"/>
    <x v="5"/>
    <x v="11"/>
    <n v="8"/>
    <n v="475.1"/>
    <n v="3800.8"/>
  </r>
  <r>
    <x v="229"/>
    <x v="0"/>
    <x v="5"/>
    <x v="4"/>
    <x v="20"/>
    <n v="6"/>
    <n v="1303.92"/>
    <n v="7823.52"/>
  </r>
  <r>
    <x v="230"/>
    <x v="3"/>
    <x v="1"/>
    <x v="7"/>
    <x v="4"/>
    <n v="8"/>
    <n v="377.52"/>
    <n v="3020.16"/>
  </r>
  <r>
    <x v="231"/>
    <x v="2"/>
    <x v="5"/>
    <x v="3"/>
    <x v="14"/>
    <n v="7"/>
    <n v="441.72"/>
    <n v="3092.04"/>
  </r>
  <r>
    <x v="232"/>
    <x v="1"/>
    <x v="5"/>
    <x v="4"/>
    <x v="14"/>
    <n v="6"/>
    <n v="427.5"/>
    <n v="2565"/>
  </r>
  <r>
    <x v="233"/>
    <x v="2"/>
    <x v="0"/>
    <x v="3"/>
    <x v="17"/>
    <n v="10"/>
    <n v="246.03"/>
    <n v="2460.3000000000002"/>
  </r>
  <r>
    <x v="234"/>
    <x v="4"/>
    <x v="4"/>
    <x v="0"/>
    <x v="12"/>
    <n v="2"/>
    <n v="843.75"/>
    <n v="1687.5"/>
  </r>
  <r>
    <x v="235"/>
    <x v="0"/>
    <x v="0"/>
    <x v="7"/>
    <x v="0"/>
    <n v="2"/>
    <n v="582.33000000000004"/>
    <n v="1164.6600000000001"/>
  </r>
  <r>
    <x v="236"/>
    <x v="3"/>
    <x v="1"/>
    <x v="1"/>
    <x v="13"/>
    <n v="10"/>
    <n v="1086.06"/>
    <n v="10860.599999999999"/>
  </r>
  <r>
    <x v="237"/>
    <x v="3"/>
    <x v="1"/>
    <x v="2"/>
    <x v="1"/>
    <n v="10"/>
    <n v="314.52999999999997"/>
    <n v="3145.2999999999997"/>
  </r>
  <r>
    <x v="238"/>
    <x v="4"/>
    <x v="3"/>
    <x v="4"/>
    <x v="15"/>
    <n v="5"/>
    <n v="211.01"/>
    <n v="1055.05"/>
  </r>
  <r>
    <x v="239"/>
    <x v="1"/>
    <x v="4"/>
    <x v="6"/>
    <x v="8"/>
    <n v="10"/>
    <n v="812.79"/>
    <n v="8127.9"/>
  </r>
  <r>
    <x v="240"/>
    <x v="3"/>
    <x v="1"/>
    <x v="6"/>
    <x v="4"/>
    <n v="1"/>
    <n v="908.59"/>
    <n v="908.59"/>
  </r>
  <r>
    <x v="241"/>
    <x v="3"/>
    <x v="2"/>
    <x v="1"/>
    <x v="5"/>
    <n v="6"/>
    <n v="403.88"/>
    <n v="2423.2799999999997"/>
  </r>
  <r>
    <x v="242"/>
    <x v="1"/>
    <x v="4"/>
    <x v="3"/>
    <x v="23"/>
    <n v="9"/>
    <n v="278.41000000000003"/>
    <n v="2505.69"/>
  </r>
  <r>
    <x v="243"/>
    <x v="0"/>
    <x v="5"/>
    <x v="7"/>
    <x v="11"/>
    <n v="1"/>
    <n v="26.69"/>
    <n v="26.69"/>
  </r>
  <r>
    <x v="244"/>
    <x v="0"/>
    <x v="2"/>
    <x v="5"/>
    <x v="2"/>
    <n v="5"/>
    <n v="459.1"/>
    <n v="2295.5"/>
  </r>
  <r>
    <x v="245"/>
    <x v="3"/>
    <x v="4"/>
    <x v="2"/>
    <x v="23"/>
    <n v="1"/>
    <n v="953.89"/>
    <n v="953.89"/>
  </r>
  <r>
    <x v="246"/>
    <x v="3"/>
    <x v="4"/>
    <x v="4"/>
    <x v="12"/>
    <n v="10"/>
    <n v="738.82"/>
    <n v="7388.2000000000007"/>
  </r>
  <r>
    <x v="247"/>
    <x v="0"/>
    <x v="1"/>
    <x v="3"/>
    <x v="13"/>
    <n v="10"/>
    <n v="1494.63"/>
    <n v="14946.300000000001"/>
  </r>
  <r>
    <x v="248"/>
    <x v="3"/>
    <x v="5"/>
    <x v="4"/>
    <x v="28"/>
    <n v="2"/>
    <n v="820.7"/>
    <n v="1641.4"/>
  </r>
  <r>
    <x v="249"/>
    <x v="4"/>
    <x v="2"/>
    <x v="2"/>
    <x v="6"/>
    <n v="2"/>
    <n v="116.7"/>
    <n v="233.4"/>
  </r>
  <r>
    <x v="250"/>
    <x v="0"/>
    <x v="4"/>
    <x v="5"/>
    <x v="27"/>
    <n v="2"/>
    <n v="77.150000000000006"/>
    <n v="154.30000000000001"/>
  </r>
  <r>
    <x v="251"/>
    <x v="4"/>
    <x v="4"/>
    <x v="0"/>
    <x v="12"/>
    <n v="1"/>
    <n v="1497.69"/>
    <n v="1497.69"/>
  </r>
  <r>
    <x v="252"/>
    <x v="2"/>
    <x v="1"/>
    <x v="3"/>
    <x v="24"/>
    <n v="6"/>
    <n v="1130.27"/>
    <n v="6781.62"/>
  </r>
  <r>
    <x v="253"/>
    <x v="1"/>
    <x v="5"/>
    <x v="3"/>
    <x v="11"/>
    <n v="6"/>
    <n v="1047.1099999999999"/>
    <n v="6282.66"/>
  </r>
  <r>
    <x v="254"/>
    <x v="4"/>
    <x v="4"/>
    <x v="3"/>
    <x v="12"/>
    <n v="10"/>
    <n v="225.27"/>
    <n v="2252.7000000000003"/>
  </r>
  <r>
    <x v="255"/>
    <x v="4"/>
    <x v="3"/>
    <x v="7"/>
    <x v="15"/>
    <n v="1"/>
    <n v="1162.48"/>
    <n v="1162.48"/>
  </r>
  <r>
    <x v="256"/>
    <x v="4"/>
    <x v="3"/>
    <x v="3"/>
    <x v="3"/>
    <n v="3"/>
    <n v="753.7"/>
    <n v="2261.1000000000004"/>
  </r>
  <r>
    <x v="257"/>
    <x v="2"/>
    <x v="2"/>
    <x v="2"/>
    <x v="6"/>
    <n v="5"/>
    <n v="1422.27"/>
    <n v="7111.35"/>
  </r>
  <r>
    <x v="258"/>
    <x v="0"/>
    <x v="2"/>
    <x v="6"/>
    <x v="22"/>
    <n v="4"/>
    <n v="872.42"/>
    <n v="3489.68"/>
  </r>
  <r>
    <x v="259"/>
    <x v="1"/>
    <x v="1"/>
    <x v="4"/>
    <x v="16"/>
    <n v="1"/>
    <n v="118.62"/>
    <n v="118.62"/>
  </r>
  <r>
    <x v="260"/>
    <x v="1"/>
    <x v="3"/>
    <x v="2"/>
    <x v="26"/>
    <n v="1"/>
    <n v="1457.78"/>
    <n v="1457.78"/>
  </r>
  <r>
    <x v="261"/>
    <x v="0"/>
    <x v="0"/>
    <x v="6"/>
    <x v="0"/>
    <n v="9"/>
    <n v="139.05000000000001"/>
    <n v="1251.45"/>
  </r>
  <r>
    <x v="262"/>
    <x v="1"/>
    <x v="4"/>
    <x v="7"/>
    <x v="8"/>
    <n v="4"/>
    <n v="1459.93"/>
    <n v="5839.72"/>
  </r>
  <r>
    <x v="263"/>
    <x v="0"/>
    <x v="0"/>
    <x v="3"/>
    <x v="29"/>
    <n v="7"/>
    <n v="403.42"/>
    <n v="2823.94"/>
  </r>
  <r>
    <x v="264"/>
    <x v="1"/>
    <x v="1"/>
    <x v="6"/>
    <x v="13"/>
    <n v="6"/>
    <n v="744.9"/>
    <n v="4469.3999999999996"/>
  </r>
  <r>
    <x v="265"/>
    <x v="0"/>
    <x v="0"/>
    <x v="3"/>
    <x v="17"/>
    <n v="5"/>
    <n v="1019.6"/>
    <n v="5098"/>
  </r>
  <r>
    <x v="266"/>
    <x v="4"/>
    <x v="5"/>
    <x v="6"/>
    <x v="14"/>
    <n v="9"/>
    <n v="560.57000000000005"/>
    <n v="5045.13"/>
  </r>
  <r>
    <x v="267"/>
    <x v="4"/>
    <x v="0"/>
    <x v="1"/>
    <x v="9"/>
    <n v="4"/>
    <n v="292.58999999999997"/>
    <n v="1170.3599999999999"/>
  </r>
  <r>
    <x v="268"/>
    <x v="0"/>
    <x v="2"/>
    <x v="0"/>
    <x v="22"/>
    <n v="1"/>
    <n v="1378.39"/>
    <n v="1378.39"/>
  </r>
  <r>
    <x v="269"/>
    <x v="0"/>
    <x v="3"/>
    <x v="2"/>
    <x v="7"/>
    <n v="5"/>
    <n v="777.25"/>
    <n v="3886.25"/>
  </r>
  <r>
    <x v="270"/>
    <x v="0"/>
    <x v="2"/>
    <x v="7"/>
    <x v="21"/>
    <n v="5"/>
    <n v="301.14"/>
    <n v="1505.6999999999998"/>
  </r>
  <r>
    <x v="271"/>
    <x v="4"/>
    <x v="5"/>
    <x v="0"/>
    <x v="14"/>
    <n v="4"/>
    <n v="481.84"/>
    <n v="1927.36"/>
  </r>
  <r>
    <x v="272"/>
    <x v="3"/>
    <x v="5"/>
    <x v="6"/>
    <x v="20"/>
    <n v="6"/>
    <n v="1156.1199999999999"/>
    <n v="6936.7199999999993"/>
  </r>
  <r>
    <x v="273"/>
    <x v="1"/>
    <x v="5"/>
    <x v="3"/>
    <x v="14"/>
    <n v="1"/>
    <n v="1304.03"/>
    <n v="1304.03"/>
  </r>
  <r>
    <x v="274"/>
    <x v="0"/>
    <x v="1"/>
    <x v="4"/>
    <x v="1"/>
    <n v="8"/>
    <n v="148.93"/>
    <n v="1191.44"/>
  </r>
  <r>
    <x v="275"/>
    <x v="1"/>
    <x v="1"/>
    <x v="3"/>
    <x v="4"/>
    <n v="2"/>
    <n v="1263"/>
    <n v="2526"/>
  </r>
  <r>
    <x v="276"/>
    <x v="0"/>
    <x v="4"/>
    <x v="7"/>
    <x v="12"/>
    <n v="8"/>
    <n v="369.92"/>
    <n v="2959.36"/>
  </r>
  <r>
    <x v="277"/>
    <x v="3"/>
    <x v="2"/>
    <x v="4"/>
    <x v="5"/>
    <n v="1"/>
    <n v="936.18"/>
    <n v="936.18"/>
  </r>
  <r>
    <x v="278"/>
    <x v="3"/>
    <x v="3"/>
    <x v="7"/>
    <x v="26"/>
    <n v="4"/>
    <n v="1462.34"/>
    <n v="5849.36"/>
  </r>
  <r>
    <x v="279"/>
    <x v="2"/>
    <x v="1"/>
    <x v="3"/>
    <x v="13"/>
    <n v="8"/>
    <n v="1428.76"/>
    <n v="11430.08"/>
  </r>
  <r>
    <x v="280"/>
    <x v="4"/>
    <x v="2"/>
    <x v="4"/>
    <x v="22"/>
    <n v="7"/>
    <n v="26.81"/>
    <n v="187.67"/>
  </r>
  <r>
    <x v="281"/>
    <x v="4"/>
    <x v="1"/>
    <x v="0"/>
    <x v="4"/>
    <n v="6"/>
    <n v="135.47"/>
    <n v="812.81999999999994"/>
  </r>
  <r>
    <x v="282"/>
    <x v="4"/>
    <x v="0"/>
    <x v="0"/>
    <x v="17"/>
    <n v="2"/>
    <n v="35.22"/>
    <n v="70.44"/>
  </r>
  <r>
    <x v="283"/>
    <x v="2"/>
    <x v="0"/>
    <x v="3"/>
    <x v="0"/>
    <n v="5"/>
    <n v="1340.6"/>
    <n v="6703"/>
  </r>
  <r>
    <x v="284"/>
    <x v="3"/>
    <x v="4"/>
    <x v="3"/>
    <x v="19"/>
    <n v="4"/>
    <n v="1134.7"/>
    <n v="4538.8"/>
  </r>
  <r>
    <x v="285"/>
    <x v="2"/>
    <x v="3"/>
    <x v="4"/>
    <x v="25"/>
    <n v="3"/>
    <n v="197.93"/>
    <n v="593.79"/>
  </r>
  <r>
    <x v="286"/>
    <x v="1"/>
    <x v="4"/>
    <x v="7"/>
    <x v="8"/>
    <n v="1"/>
    <n v="985.28"/>
    <n v="985.28"/>
  </r>
  <r>
    <x v="287"/>
    <x v="4"/>
    <x v="3"/>
    <x v="1"/>
    <x v="25"/>
    <n v="10"/>
    <n v="184.06"/>
    <n v="1840.6"/>
  </r>
  <r>
    <x v="288"/>
    <x v="2"/>
    <x v="2"/>
    <x v="3"/>
    <x v="21"/>
    <n v="4"/>
    <n v="376.53"/>
    <n v="1506.12"/>
  </r>
  <r>
    <x v="289"/>
    <x v="2"/>
    <x v="4"/>
    <x v="0"/>
    <x v="23"/>
    <n v="5"/>
    <n v="965.35"/>
    <n v="4826.75"/>
  </r>
  <r>
    <x v="290"/>
    <x v="1"/>
    <x v="0"/>
    <x v="1"/>
    <x v="0"/>
    <n v="3"/>
    <n v="953.35"/>
    <n v="2860.05"/>
  </r>
  <r>
    <x v="291"/>
    <x v="4"/>
    <x v="3"/>
    <x v="3"/>
    <x v="26"/>
    <n v="10"/>
    <n v="946.62"/>
    <n v="9466.2000000000007"/>
  </r>
  <r>
    <x v="292"/>
    <x v="0"/>
    <x v="0"/>
    <x v="7"/>
    <x v="0"/>
    <n v="8"/>
    <n v="1498.02"/>
    <n v="11984.16"/>
  </r>
  <r>
    <x v="293"/>
    <x v="2"/>
    <x v="0"/>
    <x v="2"/>
    <x v="10"/>
    <n v="9"/>
    <n v="884.23"/>
    <n v="7958.07"/>
  </r>
  <r>
    <x v="294"/>
    <x v="4"/>
    <x v="0"/>
    <x v="0"/>
    <x v="10"/>
    <n v="3"/>
    <n v="681.19"/>
    <n v="2043.5700000000002"/>
  </r>
  <r>
    <x v="295"/>
    <x v="3"/>
    <x v="0"/>
    <x v="1"/>
    <x v="9"/>
    <n v="2"/>
    <n v="865.68"/>
    <n v="1731.36"/>
  </r>
  <r>
    <x v="296"/>
    <x v="3"/>
    <x v="1"/>
    <x v="6"/>
    <x v="16"/>
    <n v="5"/>
    <n v="855.02"/>
    <n v="4275.1000000000004"/>
  </r>
  <r>
    <x v="297"/>
    <x v="2"/>
    <x v="2"/>
    <x v="3"/>
    <x v="6"/>
    <n v="9"/>
    <n v="1466.86"/>
    <n v="13201.74"/>
  </r>
  <r>
    <x v="298"/>
    <x v="3"/>
    <x v="1"/>
    <x v="0"/>
    <x v="4"/>
    <n v="4"/>
    <n v="331.14"/>
    <n v="1324.56"/>
  </r>
  <r>
    <x v="299"/>
    <x v="3"/>
    <x v="0"/>
    <x v="5"/>
    <x v="29"/>
    <n v="10"/>
    <n v="1463.98"/>
    <n v="14639.8"/>
  </r>
  <r>
    <x v="300"/>
    <x v="3"/>
    <x v="3"/>
    <x v="5"/>
    <x v="26"/>
    <n v="3"/>
    <n v="60.32"/>
    <n v="180.96"/>
  </r>
  <r>
    <x v="301"/>
    <x v="0"/>
    <x v="3"/>
    <x v="7"/>
    <x v="3"/>
    <n v="2"/>
    <n v="929.4"/>
    <n v="1858.8"/>
  </r>
  <r>
    <x v="302"/>
    <x v="0"/>
    <x v="4"/>
    <x v="0"/>
    <x v="19"/>
    <n v="6"/>
    <n v="165.13"/>
    <n v="990.78"/>
  </r>
  <r>
    <x v="303"/>
    <x v="3"/>
    <x v="1"/>
    <x v="0"/>
    <x v="1"/>
    <n v="8"/>
    <n v="508.6"/>
    <n v="4068.8"/>
  </r>
  <r>
    <x v="304"/>
    <x v="2"/>
    <x v="5"/>
    <x v="3"/>
    <x v="20"/>
    <n v="3"/>
    <n v="387.97"/>
    <n v="1163.9100000000001"/>
  </r>
  <r>
    <x v="305"/>
    <x v="0"/>
    <x v="5"/>
    <x v="2"/>
    <x v="11"/>
    <n v="2"/>
    <n v="630.07000000000005"/>
    <n v="1260.1400000000001"/>
  </r>
  <r>
    <x v="306"/>
    <x v="0"/>
    <x v="1"/>
    <x v="7"/>
    <x v="24"/>
    <n v="2"/>
    <n v="1022.56"/>
    <n v="2045.12"/>
  </r>
  <r>
    <x v="307"/>
    <x v="0"/>
    <x v="0"/>
    <x v="7"/>
    <x v="0"/>
    <n v="10"/>
    <n v="1250.3399999999999"/>
    <n v="12503.4"/>
  </r>
  <r>
    <x v="308"/>
    <x v="1"/>
    <x v="1"/>
    <x v="4"/>
    <x v="1"/>
    <n v="1"/>
    <n v="478.67"/>
    <n v="478.67"/>
  </r>
  <r>
    <x v="309"/>
    <x v="4"/>
    <x v="1"/>
    <x v="1"/>
    <x v="24"/>
    <n v="10"/>
    <n v="827.61"/>
    <n v="8276.1"/>
  </r>
  <r>
    <x v="310"/>
    <x v="1"/>
    <x v="4"/>
    <x v="3"/>
    <x v="12"/>
    <n v="8"/>
    <n v="879.9"/>
    <n v="7039.2"/>
  </r>
  <r>
    <x v="311"/>
    <x v="1"/>
    <x v="5"/>
    <x v="0"/>
    <x v="14"/>
    <n v="3"/>
    <n v="1145.06"/>
    <n v="3435.18"/>
  </r>
  <r>
    <x v="312"/>
    <x v="3"/>
    <x v="1"/>
    <x v="3"/>
    <x v="1"/>
    <n v="5"/>
    <n v="1231.25"/>
    <n v="6156.25"/>
  </r>
  <r>
    <x v="313"/>
    <x v="2"/>
    <x v="3"/>
    <x v="4"/>
    <x v="3"/>
    <n v="6"/>
    <n v="1214.6099999999999"/>
    <n v="7287.66"/>
  </r>
  <r>
    <x v="314"/>
    <x v="4"/>
    <x v="0"/>
    <x v="6"/>
    <x v="29"/>
    <n v="1"/>
    <n v="1285.77"/>
    <n v="1285.77"/>
  </r>
  <r>
    <x v="315"/>
    <x v="2"/>
    <x v="2"/>
    <x v="1"/>
    <x v="5"/>
    <n v="1"/>
    <n v="1104.24"/>
    <n v="1104.24"/>
  </r>
  <r>
    <x v="316"/>
    <x v="2"/>
    <x v="1"/>
    <x v="2"/>
    <x v="1"/>
    <n v="9"/>
    <n v="1205.3599999999999"/>
    <n v="10848.24"/>
  </r>
  <r>
    <x v="317"/>
    <x v="2"/>
    <x v="5"/>
    <x v="4"/>
    <x v="18"/>
    <n v="7"/>
    <n v="1191.9100000000001"/>
    <n v="8343.3700000000008"/>
  </r>
  <r>
    <x v="318"/>
    <x v="4"/>
    <x v="1"/>
    <x v="5"/>
    <x v="16"/>
    <n v="2"/>
    <n v="123.42"/>
    <n v="246.84"/>
  </r>
  <r>
    <x v="319"/>
    <x v="1"/>
    <x v="3"/>
    <x v="4"/>
    <x v="26"/>
    <n v="1"/>
    <n v="545.12"/>
    <n v="545.12"/>
  </r>
  <r>
    <x v="320"/>
    <x v="0"/>
    <x v="2"/>
    <x v="3"/>
    <x v="22"/>
    <n v="2"/>
    <n v="864.25"/>
    <n v="1728.5"/>
  </r>
  <r>
    <x v="321"/>
    <x v="4"/>
    <x v="1"/>
    <x v="5"/>
    <x v="24"/>
    <n v="5"/>
    <n v="976.56"/>
    <n v="4882.7999999999993"/>
  </r>
  <r>
    <x v="322"/>
    <x v="0"/>
    <x v="1"/>
    <x v="3"/>
    <x v="24"/>
    <n v="5"/>
    <n v="247.42"/>
    <n v="1237.0999999999999"/>
  </r>
  <r>
    <x v="323"/>
    <x v="1"/>
    <x v="4"/>
    <x v="7"/>
    <x v="23"/>
    <n v="5"/>
    <n v="545.58000000000004"/>
    <n v="2727.9"/>
  </r>
  <r>
    <x v="324"/>
    <x v="2"/>
    <x v="0"/>
    <x v="0"/>
    <x v="0"/>
    <n v="2"/>
    <n v="1179.52"/>
    <n v="2359.04"/>
  </r>
  <r>
    <x v="325"/>
    <x v="0"/>
    <x v="5"/>
    <x v="7"/>
    <x v="18"/>
    <n v="4"/>
    <n v="548.73"/>
    <n v="2194.92"/>
  </r>
  <r>
    <x v="326"/>
    <x v="0"/>
    <x v="5"/>
    <x v="2"/>
    <x v="18"/>
    <n v="4"/>
    <n v="233.36"/>
    <n v="933.44"/>
  </r>
  <r>
    <x v="327"/>
    <x v="3"/>
    <x v="0"/>
    <x v="0"/>
    <x v="9"/>
    <n v="4"/>
    <n v="270.75"/>
    <n v="1083"/>
  </r>
  <r>
    <x v="328"/>
    <x v="4"/>
    <x v="1"/>
    <x v="0"/>
    <x v="13"/>
    <n v="2"/>
    <n v="1177.72"/>
    <n v="2355.44"/>
  </r>
  <r>
    <x v="329"/>
    <x v="4"/>
    <x v="1"/>
    <x v="5"/>
    <x v="24"/>
    <n v="9"/>
    <n v="596.1"/>
    <n v="5364.9000000000005"/>
  </r>
  <r>
    <x v="330"/>
    <x v="3"/>
    <x v="5"/>
    <x v="4"/>
    <x v="28"/>
    <n v="4"/>
    <n v="1278.07"/>
    <n v="5112.28"/>
  </r>
  <r>
    <x v="331"/>
    <x v="2"/>
    <x v="3"/>
    <x v="6"/>
    <x v="3"/>
    <n v="3"/>
    <n v="1252.8900000000001"/>
    <n v="3758.67"/>
  </r>
  <r>
    <x v="332"/>
    <x v="4"/>
    <x v="2"/>
    <x v="1"/>
    <x v="6"/>
    <n v="9"/>
    <n v="1258.04"/>
    <n v="11322.36"/>
  </r>
  <r>
    <x v="333"/>
    <x v="0"/>
    <x v="2"/>
    <x v="2"/>
    <x v="21"/>
    <n v="9"/>
    <n v="654.14"/>
    <n v="5887.26"/>
  </r>
  <r>
    <x v="334"/>
    <x v="2"/>
    <x v="1"/>
    <x v="7"/>
    <x v="13"/>
    <n v="1"/>
    <n v="132.13"/>
    <n v="132.13"/>
  </r>
  <r>
    <x v="335"/>
    <x v="0"/>
    <x v="1"/>
    <x v="7"/>
    <x v="16"/>
    <n v="6"/>
    <n v="792.45"/>
    <n v="4754.7000000000007"/>
  </r>
  <r>
    <x v="336"/>
    <x v="1"/>
    <x v="3"/>
    <x v="0"/>
    <x v="25"/>
    <n v="4"/>
    <n v="192.4"/>
    <n v="769.6"/>
  </r>
  <r>
    <x v="337"/>
    <x v="3"/>
    <x v="3"/>
    <x v="5"/>
    <x v="26"/>
    <n v="6"/>
    <n v="1408.96"/>
    <n v="8453.76"/>
  </r>
  <r>
    <x v="338"/>
    <x v="3"/>
    <x v="1"/>
    <x v="0"/>
    <x v="1"/>
    <n v="6"/>
    <n v="76.209999999999994"/>
    <n v="457.26"/>
  </r>
  <r>
    <x v="339"/>
    <x v="1"/>
    <x v="2"/>
    <x v="4"/>
    <x v="21"/>
    <n v="6"/>
    <n v="78.05"/>
    <n v="468.29999999999995"/>
  </r>
  <r>
    <x v="340"/>
    <x v="4"/>
    <x v="5"/>
    <x v="1"/>
    <x v="14"/>
    <n v="9"/>
    <n v="733.29"/>
    <n v="6599.61"/>
  </r>
  <r>
    <x v="341"/>
    <x v="1"/>
    <x v="2"/>
    <x v="1"/>
    <x v="2"/>
    <n v="3"/>
    <n v="370.22"/>
    <n v="1110.6600000000001"/>
  </r>
  <r>
    <x v="342"/>
    <x v="1"/>
    <x v="0"/>
    <x v="0"/>
    <x v="10"/>
    <n v="5"/>
    <n v="1138.74"/>
    <n v="5693.7"/>
  </r>
  <r>
    <x v="343"/>
    <x v="3"/>
    <x v="1"/>
    <x v="0"/>
    <x v="1"/>
    <n v="10"/>
    <n v="451.71"/>
    <n v="4517.0999999999995"/>
  </r>
  <r>
    <x v="344"/>
    <x v="3"/>
    <x v="1"/>
    <x v="3"/>
    <x v="4"/>
    <n v="1"/>
    <n v="1008.48"/>
    <n v="1008.48"/>
  </r>
  <r>
    <x v="345"/>
    <x v="0"/>
    <x v="3"/>
    <x v="6"/>
    <x v="3"/>
    <n v="10"/>
    <n v="1485.84"/>
    <n v="14858.4"/>
  </r>
  <r>
    <x v="346"/>
    <x v="1"/>
    <x v="1"/>
    <x v="3"/>
    <x v="16"/>
    <n v="6"/>
    <n v="584.73"/>
    <n v="3508.38"/>
  </r>
  <r>
    <x v="347"/>
    <x v="0"/>
    <x v="1"/>
    <x v="1"/>
    <x v="4"/>
    <n v="1"/>
    <n v="860.65"/>
    <n v="860.65"/>
  </r>
  <r>
    <x v="348"/>
    <x v="0"/>
    <x v="2"/>
    <x v="1"/>
    <x v="22"/>
    <n v="9"/>
    <n v="419.77"/>
    <n v="3777.93"/>
  </r>
  <r>
    <x v="349"/>
    <x v="0"/>
    <x v="3"/>
    <x v="4"/>
    <x v="7"/>
    <n v="2"/>
    <n v="191.06"/>
    <n v="382.12"/>
  </r>
  <r>
    <x v="350"/>
    <x v="4"/>
    <x v="0"/>
    <x v="2"/>
    <x v="29"/>
    <n v="6"/>
    <n v="1334.74"/>
    <n v="8008.4400000000005"/>
  </r>
  <r>
    <x v="351"/>
    <x v="4"/>
    <x v="0"/>
    <x v="2"/>
    <x v="17"/>
    <n v="2"/>
    <n v="1270.3900000000001"/>
    <n v="2540.7800000000002"/>
  </r>
  <r>
    <x v="352"/>
    <x v="4"/>
    <x v="0"/>
    <x v="5"/>
    <x v="17"/>
    <n v="8"/>
    <n v="888.94"/>
    <n v="7111.52"/>
  </r>
  <r>
    <x v="353"/>
    <x v="0"/>
    <x v="4"/>
    <x v="1"/>
    <x v="8"/>
    <n v="1"/>
    <n v="214.54"/>
    <n v="214.54"/>
  </r>
  <r>
    <x v="354"/>
    <x v="1"/>
    <x v="5"/>
    <x v="6"/>
    <x v="11"/>
    <n v="4"/>
    <n v="1491.33"/>
    <n v="5965.32"/>
  </r>
  <r>
    <x v="355"/>
    <x v="1"/>
    <x v="4"/>
    <x v="7"/>
    <x v="27"/>
    <n v="1"/>
    <n v="592.58000000000004"/>
    <n v="592.58000000000004"/>
  </r>
  <r>
    <x v="356"/>
    <x v="4"/>
    <x v="4"/>
    <x v="5"/>
    <x v="12"/>
    <n v="10"/>
    <n v="185.59"/>
    <n v="1855.9"/>
  </r>
  <r>
    <x v="357"/>
    <x v="4"/>
    <x v="2"/>
    <x v="3"/>
    <x v="21"/>
    <n v="10"/>
    <n v="509.65"/>
    <n v="5096.5"/>
  </r>
  <r>
    <x v="358"/>
    <x v="4"/>
    <x v="1"/>
    <x v="7"/>
    <x v="4"/>
    <n v="7"/>
    <n v="785.79"/>
    <n v="5500.53"/>
  </r>
  <r>
    <x v="359"/>
    <x v="0"/>
    <x v="1"/>
    <x v="4"/>
    <x v="24"/>
    <n v="4"/>
    <n v="742.64"/>
    <n v="2970.56"/>
  </r>
  <r>
    <x v="360"/>
    <x v="1"/>
    <x v="4"/>
    <x v="1"/>
    <x v="19"/>
    <n v="5"/>
    <n v="1057.8599999999999"/>
    <n v="5289.2999999999993"/>
  </r>
  <r>
    <x v="361"/>
    <x v="4"/>
    <x v="1"/>
    <x v="4"/>
    <x v="16"/>
    <n v="9"/>
    <n v="912.15"/>
    <n v="8209.35"/>
  </r>
  <r>
    <x v="362"/>
    <x v="0"/>
    <x v="3"/>
    <x v="0"/>
    <x v="26"/>
    <n v="9"/>
    <n v="337.82"/>
    <n v="3040.38"/>
  </r>
  <r>
    <x v="363"/>
    <x v="4"/>
    <x v="3"/>
    <x v="2"/>
    <x v="7"/>
    <n v="6"/>
    <n v="233.94"/>
    <n v="1403.6399999999999"/>
  </r>
  <r>
    <x v="364"/>
    <x v="2"/>
    <x v="3"/>
    <x v="3"/>
    <x v="7"/>
    <n v="5"/>
    <n v="60.89"/>
    <n v="304.45"/>
  </r>
  <r>
    <x v="365"/>
    <x v="0"/>
    <x v="2"/>
    <x v="7"/>
    <x v="6"/>
    <n v="3"/>
    <n v="668.76"/>
    <n v="2006.28"/>
  </r>
  <r>
    <x v="366"/>
    <x v="3"/>
    <x v="3"/>
    <x v="5"/>
    <x v="7"/>
    <n v="2"/>
    <n v="1350.53"/>
    <n v="2701.06"/>
  </r>
  <r>
    <x v="367"/>
    <x v="0"/>
    <x v="3"/>
    <x v="1"/>
    <x v="3"/>
    <n v="3"/>
    <n v="91.91"/>
    <n v="275.73"/>
  </r>
  <r>
    <x v="368"/>
    <x v="4"/>
    <x v="2"/>
    <x v="0"/>
    <x v="2"/>
    <n v="9"/>
    <n v="1087.25"/>
    <n v="9785.25"/>
  </r>
  <r>
    <x v="369"/>
    <x v="1"/>
    <x v="2"/>
    <x v="0"/>
    <x v="2"/>
    <n v="8"/>
    <n v="404.02"/>
    <n v="3232.16"/>
  </r>
  <r>
    <x v="370"/>
    <x v="4"/>
    <x v="1"/>
    <x v="3"/>
    <x v="4"/>
    <n v="3"/>
    <n v="1189.5"/>
    <n v="3568.5"/>
  </r>
  <r>
    <x v="371"/>
    <x v="2"/>
    <x v="2"/>
    <x v="6"/>
    <x v="6"/>
    <n v="6"/>
    <n v="1112.4000000000001"/>
    <n v="6674.4000000000005"/>
  </r>
  <r>
    <x v="372"/>
    <x v="4"/>
    <x v="0"/>
    <x v="7"/>
    <x v="10"/>
    <n v="5"/>
    <n v="192.14"/>
    <n v="960.69999999999993"/>
  </r>
  <r>
    <x v="373"/>
    <x v="3"/>
    <x v="3"/>
    <x v="2"/>
    <x v="7"/>
    <n v="8"/>
    <n v="1024.95"/>
    <n v="8199.6"/>
  </r>
  <r>
    <x v="374"/>
    <x v="4"/>
    <x v="0"/>
    <x v="7"/>
    <x v="0"/>
    <n v="3"/>
    <n v="642.04"/>
    <n v="1926.12"/>
  </r>
  <r>
    <x v="375"/>
    <x v="0"/>
    <x v="1"/>
    <x v="2"/>
    <x v="1"/>
    <n v="7"/>
    <n v="219.03"/>
    <n v="1533.21"/>
  </r>
  <r>
    <x v="376"/>
    <x v="3"/>
    <x v="5"/>
    <x v="0"/>
    <x v="28"/>
    <n v="3"/>
    <n v="318.20999999999998"/>
    <n v="954.62999999999988"/>
  </r>
  <r>
    <x v="377"/>
    <x v="3"/>
    <x v="4"/>
    <x v="3"/>
    <x v="8"/>
    <n v="6"/>
    <n v="55.45"/>
    <n v="332.70000000000005"/>
  </r>
  <r>
    <x v="378"/>
    <x v="2"/>
    <x v="2"/>
    <x v="4"/>
    <x v="6"/>
    <n v="9"/>
    <n v="163.55000000000001"/>
    <n v="1471.95"/>
  </r>
  <r>
    <x v="379"/>
    <x v="1"/>
    <x v="2"/>
    <x v="4"/>
    <x v="2"/>
    <n v="10"/>
    <n v="531.83000000000004"/>
    <n v="5318.3"/>
  </r>
  <r>
    <x v="380"/>
    <x v="2"/>
    <x v="3"/>
    <x v="4"/>
    <x v="25"/>
    <n v="6"/>
    <n v="566.86"/>
    <n v="3401.16"/>
  </r>
  <r>
    <x v="381"/>
    <x v="0"/>
    <x v="4"/>
    <x v="5"/>
    <x v="8"/>
    <n v="1"/>
    <n v="699.53"/>
    <n v="699.53"/>
  </r>
  <r>
    <x v="382"/>
    <x v="2"/>
    <x v="5"/>
    <x v="0"/>
    <x v="14"/>
    <n v="6"/>
    <n v="408.58"/>
    <n v="2451.48"/>
  </r>
  <r>
    <x v="383"/>
    <x v="0"/>
    <x v="1"/>
    <x v="2"/>
    <x v="24"/>
    <n v="7"/>
    <n v="730.9"/>
    <n v="5116.3"/>
  </r>
  <r>
    <x v="384"/>
    <x v="2"/>
    <x v="4"/>
    <x v="5"/>
    <x v="12"/>
    <n v="1"/>
    <n v="675.93"/>
    <n v="675.93"/>
  </r>
  <r>
    <x v="385"/>
    <x v="3"/>
    <x v="2"/>
    <x v="0"/>
    <x v="21"/>
    <n v="7"/>
    <n v="1144.0899999999999"/>
    <n v="8008.6299999999992"/>
  </r>
  <r>
    <x v="386"/>
    <x v="0"/>
    <x v="4"/>
    <x v="3"/>
    <x v="19"/>
    <n v="8"/>
    <n v="1350.53"/>
    <n v="10804.24"/>
  </r>
  <r>
    <x v="387"/>
    <x v="1"/>
    <x v="2"/>
    <x v="7"/>
    <x v="5"/>
    <n v="4"/>
    <n v="1427.44"/>
    <n v="5709.76"/>
  </r>
  <r>
    <x v="388"/>
    <x v="2"/>
    <x v="2"/>
    <x v="4"/>
    <x v="6"/>
    <n v="1"/>
    <n v="994.86"/>
    <n v="994.86"/>
  </r>
  <r>
    <x v="389"/>
    <x v="4"/>
    <x v="1"/>
    <x v="7"/>
    <x v="24"/>
    <n v="9"/>
    <n v="213.57"/>
    <n v="1922.1299999999999"/>
  </r>
  <r>
    <x v="390"/>
    <x v="4"/>
    <x v="4"/>
    <x v="5"/>
    <x v="8"/>
    <n v="7"/>
    <n v="478.07"/>
    <n v="3346.49"/>
  </r>
  <r>
    <x v="391"/>
    <x v="0"/>
    <x v="3"/>
    <x v="4"/>
    <x v="25"/>
    <n v="7"/>
    <n v="337.32"/>
    <n v="2361.2399999999998"/>
  </r>
  <r>
    <x v="392"/>
    <x v="0"/>
    <x v="0"/>
    <x v="3"/>
    <x v="17"/>
    <n v="1"/>
    <n v="1326.12"/>
    <n v="1326.12"/>
  </r>
  <r>
    <x v="393"/>
    <x v="3"/>
    <x v="5"/>
    <x v="2"/>
    <x v="20"/>
    <n v="10"/>
    <n v="234.43"/>
    <n v="2344.3000000000002"/>
  </r>
  <r>
    <x v="394"/>
    <x v="3"/>
    <x v="4"/>
    <x v="0"/>
    <x v="19"/>
    <n v="5"/>
    <n v="225.29"/>
    <n v="1126.45"/>
  </r>
  <r>
    <x v="395"/>
    <x v="1"/>
    <x v="3"/>
    <x v="0"/>
    <x v="25"/>
    <n v="5"/>
    <n v="1294.77"/>
    <n v="6473.85"/>
  </r>
  <r>
    <x v="396"/>
    <x v="4"/>
    <x v="0"/>
    <x v="0"/>
    <x v="10"/>
    <n v="9"/>
    <n v="20.37"/>
    <n v="183.33"/>
  </r>
  <r>
    <x v="397"/>
    <x v="4"/>
    <x v="0"/>
    <x v="0"/>
    <x v="10"/>
    <n v="7"/>
    <n v="1060.49"/>
    <n v="7423.43"/>
  </r>
  <r>
    <x v="398"/>
    <x v="3"/>
    <x v="5"/>
    <x v="5"/>
    <x v="11"/>
    <n v="9"/>
    <n v="82.26"/>
    <n v="740.34"/>
  </r>
  <r>
    <x v="399"/>
    <x v="3"/>
    <x v="2"/>
    <x v="1"/>
    <x v="6"/>
    <n v="8"/>
    <n v="922.57"/>
    <n v="7380.56"/>
  </r>
  <r>
    <x v="400"/>
    <x v="3"/>
    <x v="5"/>
    <x v="1"/>
    <x v="20"/>
    <n v="1"/>
    <n v="106.27"/>
    <n v="106.27"/>
  </r>
  <r>
    <x v="401"/>
    <x v="2"/>
    <x v="5"/>
    <x v="7"/>
    <x v="14"/>
    <n v="1"/>
    <n v="810.79"/>
    <n v="810.79"/>
  </r>
  <r>
    <x v="402"/>
    <x v="3"/>
    <x v="0"/>
    <x v="1"/>
    <x v="29"/>
    <n v="10"/>
    <n v="496.75"/>
    <n v="4967.5"/>
  </r>
  <r>
    <x v="403"/>
    <x v="2"/>
    <x v="5"/>
    <x v="1"/>
    <x v="11"/>
    <n v="4"/>
    <n v="851.79"/>
    <n v="3407.16"/>
  </r>
  <r>
    <x v="404"/>
    <x v="3"/>
    <x v="4"/>
    <x v="5"/>
    <x v="12"/>
    <n v="10"/>
    <n v="545.13"/>
    <n v="5451.3"/>
  </r>
  <r>
    <x v="405"/>
    <x v="4"/>
    <x v="0"/>
    <x v="6"/>
    <x v="0"/>
    <n v="7"/>
    <n v="1129.44"/>
    <n v="7906.08"/>
  </r>
  <r>
    <x v="406"/>
    <x v="4"/>
    <x v="5"/>
    <x v="4"/>
    <x v="20"/>
    <n v="7"/>
    <n v="240.02"/>
    <n v="1680.14"/>
  </r>
  <r>
    <x v="407"/>
    <x v="4"/>
    <x v="3"/>
    <x v="4"/>
    <x v="3"/>
    <n v="4"/>
    <n v="1472.53"/>
    <n v="5890.12"/>
  </r>
  <r>
    <x v="408"/>
    <x v="4"/>
    <x v="3"/>
    <x v="2"/>
    <x v="7"/>
    <n v="8"/>
    <n v="1265.3599999999999"/>
    <n v="10122.879999999999"/>
  </r>
  <r>
    <x v="409"/>
    <x v="2"/>
    <x v="4"/>
    <x v="3"/>
    <x v="19"/>
    <n v="4"/>
    <n v="593.55999999999995"/>
    <n v="2374.2399999999998"/>
  </r>
  <r>
    <x v="410"/>
    <x v="4"/>
    <x v="4"/>
    <x v="7"/>
    <x v="27"/>
    <n v="1"/>
    <n v="220.69"/>
    <n v="220.69"/>
  </r>
  <r>
    <x v="411"/>
    <x v="3"/>
    <x v="3"/>
    <x v="6"/>
    <x v="15"/>
    <n v="2"/>
    <n v="583.39"/>
    <n v="1166.78"/>
  </r>
  <r>
    <x v="412"/>
    <x v="1"/>
    <x v="4"/>
    <x v="7"/>
    <x v="19"/>
    <n v="3"/>
    <n v="928.89"/>
    <n v="2786.67"/>
  </r>
  <r>
    <x v="413"/>
    <x v="3"/>
    <x v="3"/>
    <x v="4"/>
    <x v="25"/>
    <n v="1"/>
    <n v="133.47999999999999"/>
    <n v="133.47999999999999"/>
  </r>
  <r>
    <x v="414"/>
    <x v="4"/>
    <x v="5"/>
    <x v="7"/>
    <x v="20"/>
    <n v="1"/>
    <n v="1080.7"/>
    <n v="1080.7"/>
  </r>
  <r>
    <x v="415"/>
    <x v="2"/>
    <x v="2"/>
    <x v="7"/>
    <x v="21"/>
    <n v="1"/>
    <n v="173.27"/>
    <n v="173.27"/>
  </r>
  <r>
    <x v="416"/>
    <x v="0"/>
    <x v="0"/>
    <x v="2"/>
    <x v="17"/>
    <n v="7"/>
    <n v="42.16"/>
    <n v="295.12"/>
  </r>
  <r>
    <x v="417"/>
    <x v="1"/>
    <x v="3"/>
    <x v="6"/>
    <x v="25"/>
    <n v="7"/>
    <n v="1151.58"/>
    <n v="8061.0599999999995"/>
  </r>
  <r>
    <x v="418"/>
    <x v="1"/>
    <x v="1"/>
    <x v="0"/>
    <x v="4"/>
    <n v="4"/>
    <n v="204.8"/>
    <n v="819.2"/>
  </r>
  <r>
    <x v="419"/>
    <x v="2"/>
    <x v="5"/>
    <x v="6"/>
    <x v="20"/>
    <n v="3"/>
    <n v="1048.17"/>
    <n v="3144.51"/>
  </r>
  <r>
    <x v="420"/>
    <x v="1"/>
    <x v="5"/>
    <x v="3"/>
    <x v="14"/>
    <n v="10"/>
    <n v="913.17"/>
    <n v="9131.6999999999989"/>
  </r>
  <r>
    <x v="421"/>
    <x v="4"/>
    <x v="4"/>
    <x v="1"/>
    <x v="19"/>
    <n v="6"/>
    <n v="869.89"/>
    <n v="5219.34"/>
  </r>
  <r>
    <x v="422"/>
    <x v="1"/>
    <x v="0"/>
    <x v="2"/>
    <x v="10"/>
    <n v="2"/>
    <n v="712.28"/>
    <n v="1424.56"/>
  </r>
  <r>
    <x v="423"/>
    <x v="0"/>
    <x v="1"/>
    <x v="1"/>
    <x v="13"/>
    <n v="9"/>
    <n v="1484.05"/>
    <n v="13356.449999999999"/>
  </r>
  <r>
    <x v="424"/>
    <x v="0"/>
    <x v="1"/>
    <x v="0"/>
    <x v="4"/>
    <n v="4"/>
    <n v="1326.83"/>
    <n v="5307.32"/>
  </r>
  <r>
    <x v="425"/>
    <x v="4"/>
    <x v="5"/>
    <x v="0"/>
    <x v="14"/>
    <n v="8"/>
    <n v="1150.69"/>
    <n v="9205.52"/>
  </r>
  <r>
    <x v="426"/>
    <x v="4"/>
    <x v="2"/>
    <x v="5"/>
    <x v="22"/>
    <n v="10"/>
    <n v="507.05"/>
    <n v="5070.5"/>
  </r>
  <r>
    <x v="427"/>
    <x v="1"/>
    <x v="4"/>
    <x v="2"/>
    <x v="27"/>
    <n v="6"/>
    <n v="198.47"/>
    <n v="1190.82"/>
  </r>
  <r>
    <x v="428"/>
    <x v="1"/>
    <x v="5"/>
    <x v="1"/>
    <x v="20"/>
    <n v="3"/>
    <n v="129.84"/>
    <n v="389.52"/>
  </r>
  <r>
    <x v="429"/>
    <x v="4"/>
    <x v="5"/>
    <x v="4"/>
    <x v="11"/>
    <n v="7"/>
    <n v="360.31"/>
    <n v="2522.17"/>
  </r>
  <r>
    <x v="430"/>
    <x v="4"/>
    <x v="5"/>
    <x v="6"/>
    <x v="18"/>
    <n v="2"/>
    <n v="711.75"/>
    <n v="1423.5"/>
  </r>
  <r>
    <x v="431"/>
    <x v="3"/>
    <x v="1"/>
    <x v="0"/>
    <x v="13"/>
    <n v="10"/>
    <n v="1268.8699999999999"/>
    <n v="12688.699999999999"/>
  </r>
  <r>
    <x v="432"/>
    <x v="1"/>
    <x v="3"/>
    <x v="4"/>
    <x v="15"/>
    <n v="6"/>
    <n v="53.83"/>
    <n v="322.98"/>
  </r>
  <r>
    <x v="433"/>
    <x v="1"/>
    <x v="4"/>
    <x v="6"/>
    <x v="23"/>
    <n v="6"/>
    <n v="140.22999999999999"/>
    <n v="841.37999999999988"/>
  </r>
  <r>
    <x v="434"/>
    <x v="4"/>
    <x v="0"/>
    <x v="7"/>
    <x v="10"/>
    <n v="3"/>
    <n v="167.82"/>
    <n v="503.46"/>
  </r>
  <r>
    <x v="435"/>
    <x v="0"/>
    <x v="0"/>
    <x v="5"/>
    <x v="9"/>
    <n v="9"/>
    <n v="235.99"/>
    <n v="2123.91"/>
  </r>
  <r>
    <x v="436"/>
    <x v="3"/>
    <x v="5"/>
    <x v="7"/>
    <x v="28"/>
    <n v="2"/>
    <n v="1189.3800000000001"/>
    <n v="2378.7600000000002"/>
  </r>
  <r>
    <x v="437"/>
    <x v="2"/>
    <x v="0"/>
    <x v="4"/>
    <x v="9"/>
    <n v="1"/>
    <n v="875.79"/>
    <n v="875.79"/>
  </r>
  <r>
    <x v="438"/>
    <x v="0"/>
    <x v="1"/>
    <x v="4"/>
    <x v="16"/>
    <n v="8"/>
    <n v="549.83000000000004"/>
    <n v="4398.6400000000003"/>
  </r>
  <r>
    <x v="439"/>
    <x v="1"/>
    <x v="3"/>
    <x v="2"/>
    <x v="15"/>
    <n v="10"/>
    <n v="1343.53"/>
    <n v="13435.3"/>
  </r>
  <r>
    <x v="440"/>
    <x v="1"/>
    <x v="1"/>
    <x v="6"/>
    <x v="1"/>
    <n v="3"/>
    <n v="447.92"/>
    <n v="1343.76"/>
  </r>
  <r>
    <x v="441"/>
    <x v="3"/>
    <x v="1"/>
    <x v="4"/>
    <x v="13"/>
    <n v="7"/>
    <n v="362.05"/>
    <n v="2534.35"/>
  </r>
  <r>
    <x v="442"/>
    <x v="1"/>
    <x v="5"/>
    <x v="7"/>
    <x v="14"/>
    <n v="5"/>
    <n v="699.92"/>
    <n v="3499.6"/>
  </r>
  <r>
    <x v="443"/>
    <x v="1"/>
    <x v="2"/>
    <x v="5"/>
    <x v="21"/>
    <n v="4"/>
    <n v="1097.94"/>
    <n v="4391.76"/>
  </r>
  <r>
    <x v="444"/>
    <x v="3"/>
    <x v="0"/>
    <x v="3"/>
    <x v="9"/>
    <n v="5"/>
    <n v="1459.65"/>
    <n v="7298.25"/>
  </r>
  <r>
    <x v="445"/>
    <x v="3"/>
    <x v="1"/>
    <x v="6"/>
    <x v="1"/>
    <n v="6"/>
    <n v="30.59"/>
    <n v="183.54"/>
  </r>
  <r>
    <x v="446"/>
    <x v="3"/>
    <x v="5"/>
    <x v="5"/>
    <x v="28"/>
    <n v="9"/>
    <n v="1215"/>
    <n v="10935"/>
  </r>
  <r>
    <x v="447"/>
    <x v="3"/>
    <x v="0"/>
    <x v="7"/>
    <x v="0"/>
    <n v="7"/>
    <n v="1274.01"/>
    <n v="8918.07"/>
  </r>
  <r>
    <x v="448"/>
    <x v="1"/>
    <x v="3"/>
    <x v="6"/>
    <x v="26"/>
    <n v="3"/>
    <n v="368.05"/>
    <n v="1104.1500000000001"/>
  </r>
  <r>
    <x v="449"/>
    <x v="1"/>
    <x v="5"/>
    <x v="6"/>
    <x v="28"/>
    <n v="10"/>
    <n v="1292.4000000000001"/>
    <n v="12924"/>
  </r>
  <r>
    <x v="450"/>
    <x v="1"/>
    <x v="3"/>
    <x v="2"/>
    <x v="15"/>
    <n v="8"/>
    <n v="1198.03"/>
    <n v="9584.24"/>
  </r>
  <r>
    <x v="451"/>
    <x v="2"/>
    <x v="2"/>
    <x v="1"/>
    <x v="22"/>
    <n v="7"/>
    <n v="1418.05"/>
    <n v="9926.35"/>
  </r>
  <r>
    <x v="452"/>
    <x v="4"/>
    <x v="5"/>
    <x v="7"/>
    <x v="18"/>
    <n v="6"/>
    <n v="1406.72"/>
    <n v="8440.32"/>
  </r>
  <r>
    <x v="453"/>
    <x v="2"/>
    <x v="5"/>
    <x v="6"/>
    <x v="18"/>
    <n v="7"/>
    <n v="868.16"/>
    <n v="6077.12"/>
  </r>
  <r>
    <x v="454"/>
    <x v="4"/>
    <x v="4"/>
    <x v="1"/>
    <x v="27"/>
    <n v="6"/>
    <n v="431.23"/>
    <n v="2587.38"/>
  </r>
  <r>
    <x v="455"/>
    <x v="2"/>
    <x v="5"/>
    <x v="5"/>
    <x v="18"/>
    <n v="8"/>
    <n v="960.51"/>
    <n v="7684.08"/>
  </r>
  <r>
    <x v="456"/>
    <x v="3"/>
    <x v="2"/>
    <x v="1"/>
    <x v="2"/>
    <n v="3"/>
    <n v="628.75"/>
    <n v="1886.25"/>
  </r>
  <r>
    <x v="457"/>
    <x v="3"/>
    <x v="1"/>
    <x v="4"/>
    <x v="1"/>
    <n v="8"/>
    <n v="877.67"/>
    <n v="7021.36"/>
  </r>
  <r>
    <x v="458"/>
    <x v="0"/>
    <x v="5"/>
    <x v="2"/>
    <x v="14"/>
    <n v="8"/>
    <n v="1150.47"/>
    <n v="9203.76"/>
  </r>
  <r>
    <x v="459"/>
    <x v="1"/>
    <x v="0"/>
    <x v="6"/>
    <x v="9"/>
    <n v="10"/>
    <n v="89.08"/>
    <n v="890.8"/>
  </r>
  <r>
    <x v="460"/>
    <x v="1"/>
    <x v="3"/>
    <x v="7"/>
    <x v="3"/>
    <n v="5"/>
    <n v="1133.77"/>
    <n v="5668.85"/>
  </r>
  <r>
    <x v="461"/>
    <x v="4"/>
    <x v="0"/>
    <x v="6"/>
    <x v="29"/>
    <n v="10"/>
    <n v="1120.74"/>
    <n v="11207.4"/>
  </r>
  <r>
    <x v="462"/>
    <x v="4"/>
    <x v="3"/>
    <x v="7"/>
    <x v="25"/>
    <n v="8"/>
    <n v="1048.0999999999999"/>
    <n v="8384.7999999999993"/>
  </r>
  <r>
    <x v="463"/>
    <x v="2"/>
    <x v="0"/>
    <x v="4"/>
    <x v="29"/>
    <n v="8"/>
    <n v="1273.4000000000001"/>
    <n v="10187.200000000001"/>
  </r>
  <r>
    <x v="464"/>
    <x v="0"/>
    <x v="2"/>
    <x v="7"/>
    <x v="21"/>
    <n v="2"/>
    <n v="1289.1099999999999"/>
    <n v="2578.2199999999998"/>
  </r>
  <r>
    <x v="465"/>
    <x v="4"/>
    <x v="1"/>
    <x v="5"/>
    <x v="16"/>
    <n v="6"/>
    <n v="55.81"/>
    <n v="334.86"/>
  </r>
  <r>
    <x v="466"/>
    <x v="1"/>
    <x v="4"/>
    <x v="1"/>
    <x v="23"/>
    <n v="3"/>
    <n v="616.96"/>
    <n v="1850.88"/>
  </r>
  <r>
    <x v="467"/>
    <x v="2"/>
    <x v="1"/>
    <x v="5"/>
    <x v="16"/>
    <n v="5"/>
    <n v="750.33"/>
    <n v="3751.65"/>
  </r>
  <r>
    <x v="468"/>
    <x v="2"/>
    <x v="3"/>
    <x v="6"/>
    <x v="7"/>
    <n v="6"/>
    <n v="1069.9100000000001"/>
    <n v="6419.4600000000009"/>
  </r>
  <r>
    <x v="469"/>
    <x v="4"/>
    <x v="2"/>
    <x v="0"/>
    <x v="6"/>
    <n v="9"/>
    <n v="1150.4000000000001"/>
    <n v="10353.6"/>
  </r>
  <r>
    <x v="470"/>
    <x v="0"/>
    <x v="3"/>
    <x v="5"/>
    <x v="25"/>
    <n v="4"/>
    <n v="444.04"/>
    <n v="1776.16"/>
  </r>
  <r>
    <x v="471"/>
    <x v="2"/>
    <x v="2"/>
    <x v="3"/>
    <x v="21"/>
    <n v="9"/>
    <n v="417.95"/>
    <n v="3761.5499999999997"/>
  </r>
  <r>
    <x v="472"/>
    <x v="1"/>
    <x v="3"/>
    <x v="3"/>
    <x v="3"/>
    <n v="8"/>
    <n v="547.96"/>
    <n v="4383.68"/>
  </r>
  <r>
    <x v="473"/>
    <x v="1"/>
    <x v="2"/>
    <x v="0"/>
    <x v="2"/>
    <n v="6"/>
    <n v="729.6"/>
    <n v="4377.6000000000004"/>
  </r>
  <r>
    <x v="474"/>
    <x v="4"/>
    <x v="2"/>
    <x v="5"/>
    <x v="6"/>
    <n v="4"/>
    <n v="221.62"/>
    <n v="886.48"/>
  </r>
  <r>
    <x v="475"/>
    <x v="2"/>
    <x v="5"/>
    <x v="3"/>
    <x v="18"/>
    <n v="3"/>
    <n v="1322.34"/>
    <n v="3967.0199999999995"/>
  </r>
  <r>
    <x v="476"/>
    <x v="0"/>
    <x v="2"/>
    <x v="2"/>
    <x v="5"/>
    <n v="3"/>
    <n v="341.68"/>
    <n v="1025.04"/>
  </r>
  <r>
    <x v="477"/>
    <x v="3"/>
    <x v="2"/>
    <x v="1"/>
    <x v="5"/>
    <n v="6"/>
    <n v="55.71"/>
    <n v="334.26"/>
  </r>
  <r>
    <x v="478"/>
    <x v="3"/>
    <x v="3"/>
    <x v="1"/>
    <x v="3"/>
    <n v="7"/>
    <n v="765.96"/>
    <n v="5361.72"/>
  </r>
  <r>
    <x v="479"/>
    <x v="4"/>
    <x v="1"/>
    <x v="4"/>
    <x v="24"/>
    <n v="6"/>
    <n v="318.91000000000003"/>
    <n v="1913.46"/>
  </r>
  <r>
    <x v="480"/>
    <x v="0"/>
    <x v="1"/>
    <x v="1"/>
    <x v="13"/>
    <n v="7"/>
    <n v="508.8"/>
    <n v="3561.6"/>
  </r>
  <r>
    <x v="481"/>
    <x v="3"/>
    <x v="1"/>
    <x v="4"/>
    <x v="13"/>
    <n v="10"/>
    <n v="245.84"/>
    <n v="2458.4"/>
  </r>
  <r>
    <x v="482"/>
    <x v="1"/>
    <x v="1"/>
    <x v="7"/>
    <x v="16"/>
    <n v="2"/>
    <n v="361.57"/>
    <n v="723.14"/>
  </r>
  <r>
    <x v="483"/>
    <x v="0"/>
    <x v="1"/>
    <x v="0"/>
    <x v="24"/>
    <n v="1"/>
    <n v="1251.02"/>
    <n v="1251.02"/>
  </r>
  <r>
    <x v="484"/>
    <x v="1"/>
    <x v="4"/>
    <x v="3"/>
    <x v="19"/>
    <n v="10"/>
    <n v="695.11"/>
    <n v="6951.1"/>
  </r>
  <r>
    <x v="485"/>
    <x v="2"/>
    <x v="4"/>
    <x v="5"/>
    <x v="19"/>
    <n v="5"/>
    <n v="808.19"/>
    <n v="4040.9500000000003"/>
  </r>
  <r>
    <x v="486"/>
    <x v="0"/>
    <x v="4"/>
    <x v="4"/>
    <x v="19"/>
    <n v="8"/>
    <n v="711.72"/>
    <n v="5693.76"/>
  </r>
  <r>
    <x v="487"/>
    <x v="3"/>
    <x v="3"/>
    <x v="0"/>
    <x v="25"/>
    <n v="4"/>
    <n v="347.56"/>
    <n v="1390.24"/>
  </r>
  <r>
    <x v="488"/>
    <x v="2"/>
    <x v="5"/>
    <x v="5"/>
    <x v="11"/>
    <n v="8"/>
    <n v="1441.32"/>
    <n v="11530.56"/>
  </r>
  <r>
    <x v="489"/>
    <x v="2"/>
    <x v="2"/>
    <x v="6"/>
    <x v="22"/>
    <n v="2"/>
    <n v="1411.35"/>
    <n v="2822.7"/>
  </r>
  <r>
    <x v="490"/>
    <x v="3"/>
    <x v="2"/>
    <x v="0"/>
    <x v="5"/>
    <n v="6"/>
    <n v="1021.01"/>
    <n v="6126.0599999999995"/>
  </r>
  <r>
    <x v="491"/>
    <x v="0"/>
    <x v="3"/>
    <x v="2"/>
    <x v="3"/>
    <n v="7"/>
    <n v="136.88999999999999"/>
    <n v="958.2299999999999"/>
  </r>
  <r>
    <x v="492"/>
    <x v="3"/>
    <x v="0"/>
    <x v="1"/>
    <x v="0"/>
    <n v="10"/>
    <n v="1044.81"/>
    <n v="10448.099999999999"/>
  </r>
  <r>
    <x v="493"/>
    <x v="1"/>
    <x v="2"/>
    <x v="0"/>
    <x v="21"/>
    <n v="8"/>
    <n v="82.38"/>
    <n v="659.04"/>
  </r>
  <r>
    <x v="494"/>
    <x v="0"/>
    <x v="3"/>
    <x v="0"/>
    <x v="7"/>
    <n v="9"/>
    <n v="1154.3499999999999"/>
    <n v="10389.15"/>
  </r>
  <r>
    <x v="495"/>
    <x v="1"/>
    <x v="0"/>
    <x v="3"/>
    <x v="10"/>
    <n v="10"/>
    <n v="482.63"/>
    <n v="4826.3"/>
  </r>
  <r>
    <x v="496"/>
    <x v="2"/>
    <x v="2"/>
    <x v="1"/>
    <x v="22"/>
    <n v="4"/>
    <n v="541.64"/>
    <n v="2166.56"/>
  </r>
  <r>
    <x v="497"/>
    <x v="3"/>
    <x v="0"/>
    <x v="5"/>
    <x v="9"/>
    <n v="3"/>
    <n v="1388.01"/>
    <n v="4164.03"/>
  </r>
  <r>
    <x v="498"/>
    <x v="3"/>
    <x v="2"/>
    <x v="7"/>
    <x v="6"/>
    <n v="4"/>
    <n v="318.24"/>
    <n v="1272.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775FC-CE3E-42ED-85EC-1385EE116E8D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2:B43" firstHeaderRow="1" firstDataRow="1" firstDataCol="0"/>
  <pivotFields count="8">
    <pivotField numFmtId="14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4"/>
        <item h="1" x="0"/>
        <item h="1" x="2"/>
        <item h="1" x="3"/>
        <item h="1" x="1"/>
        <item t="default"/>
      </items>
    </pivotField>
    <pivotField showAll="0">
      <items count="7">
        <item x="5"/>
        <item x="4"/>
        <item x="3"/>
        <item x="1"/>
        <item x="0"/>
        <item x="2"/>
        <item t="default"/>
      </items>
    </pivotField>
    <pivotField showAll="0">
      <items count="9">
        <item x="2"/>
        <item x="7"/>
        <item x="3"/>
        <item x="0"/>
        <item x="4"/>
        <item x="1"/>
        <item x="6"/>
        <item x="5"/>
        <item t="default"/>
      </items>
    </pivotField>
    <pivotField showAll="0">
      <items count="31">
        <item x="15"/>
        <item x="17"/>
        <item x="12"/>
        <item x="23"/>
        <item x="1"/>
        <item x="21"/>
        <item x="6"/>
        <item x="11"/>
        <item x="19"/>
        <item x="10"/>
        <item x="8"/>
        <item x="26"/>
        <item x="9"/>
        <item x="16"/>
        <item x="20"/>
        <item x="24"/>
        <item x="29"/>
        <item x="2"/>
        <item x="14"/>
        <item x="28"/>
        <item x="13"/>
        <item x="5"/>
        <item x="0"/>
        <item x="27"/>
        <item x="18"/>
        <item x="3"/>
        <item x="7"/>
        <item x="25"/>
        <item x="4"/>
        <item x="22"/>
        <item t="default"/>
      </items>
    </pivotField>
    <pivotField showAll="0"/>
    <pivotField showAll="0"/>
    <pivotField dataField="1" showAll="0"/>
  </pivotFields>
  <rowItems count="1">
    <i/>
  </rowItems>
  <colItems count="1">
    <i/>
  </colItems>
  <dataFields count="1">
    <dataField name="Suma de Total" fld="7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72857-C082-4F41-B801-31F3C2550F3A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32:C38" firstHeaderRow="1" firstDataRow="1" firstDataCol="1"/>
  <pivotFields count="8">
    <pivotField numFmtId="14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4"/>
        <item h="1" x="0"/>
        <item h="1" x="2"/>
        <item h="1" x="3"/>
        <item h="1" x="1"/>
        <item t="default"/>
      </items>
    </pivotField>
    <pivotField showAll="0">
      <items count="7">
        <item x="5"/>
        <item x="4"/>
        <item x="3"/>
        <item x="1"/>
        <item x="0"/>
        <item x="2"/>
        <item t="default"/>
      </items>
    </pivotField>
    <pivotField showAll="0">
      <items count="9">
        <item x="2"/>
        <item x="7"/>
        <item x="3"/>
        <item x="0"/>
        <item x="4"/>
        <item x="1"/>
        <item x="6"/>
        <item x="5"/>
        <item t="default"/>
      </items>
    </pivotField>
    <pivotField axis="axisRow" showAll="0" measureFilter="1" sortType="ascending">
      <items count="31">
        <item x="15"/>
        <item x="17"/>
        <item x="12"/>
        <item x="23"/>
        <item x="1"/>
        <item x="21"/>
        <item x="6"/>
        <item x="11"/>
        <item x="19"/>
        <item x="10"/>
        <item x="8"/>
        <item x="26"/>
        <item x="9"/>
        <item x="16"/>
        <item x="20"/>
        <item x="24"/>
        <item x="29"/>
        <item x="2"/>
        <item x="14"/>
        <item x="28"/>
        <item x="13"/>
        <item x="5"/>
        <item x="0"/>
        <item x="27"/>
        <item x="18"/>
        <item x="3"/>
        <item x="7"/>
        <item x="25"/>
        <item x="4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4"/>
  </rowFields>
  <rowItems count="6">
    <i>
      <x v="12"/>
    </i>
    <i>
      <x v="8"/>
    </i>
    <i>
      <x v="4"/>
    </i>
    <i>
      <x v="24"/>
    </i>
    <i>
      <x/>
    </i>
    <i t="grand">
      <x/>
    </i>
  </rowItems>
  <colItems count="1">
    <i/>
  </colItems>
  <dataFields count="1">
    <dataField name="Suma de Cantidad" fld="5" baseField="0" baseItem="0"/>
  </dataFields>
  <chartFormats count="1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F7794-5FFD-4C61-A649-6504D97DBB98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22:C29" firstHeaderRow="1" firstDataRow="1" firstDataCol="1"/>
  <pivotFields count="8">
    <pivotField numFmtId="14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4"/>
        <item h="1" x="0"/>
        <item h="1" x="2"/>
        <item h="1" x="3"/>
        <item h="1" x="1"/>
        <item t="default"/>
      </items>
    </pivotField>
    <pivotField showAll="0">
      <items count="7">
        <item x="5"/>
        <item x="4"/>
        <item x="3"/>
        <item x="1"/>
        <item x="0"/>
        <item x="2"/>
        <item t="default"/>
      </items>
    </pivotField>
    <pivotField showAll="0">
      <items count="9">
        <item x="2"/>
        <item x="7"/>
        <item x="3"/>
        <item x="0"/>
        <item x="4"/>
        <item x="1"/>
        <item x="6"/>
        <item x="5"/>
        <item t="default"/>
      </items>
    </pivotField>
    <pivotField axis="axisRow" showAll="0" measureFilter="1" sortType="descending">
      <items count="31">
        <item x="15"/>
        <item x="17"/>
        <item x="12"/>
        <item x="23"/>
        <item x="1"/>
        <item x="21"/>
        <item x="6"/>
        <item x="11"/>
        <item x="19"/>
        <item x="10"/>
        <item x="8"/>
        <item x="26"/>
        <item x="9"/>
        <item x="16"/>
        <item x="20"/>
        <item x="24"/>
        <item x="29"/>
        <item x="2"/>
        <item x="14"/>
        <item x="28"/>
        <item x="13"/>
        <item x="5"/>
        <item x="0"/>
        <item x="27"/>
        <item x="18"/>
        <item x="3"/>
        <item x="7"/>
        <item x="25"/>
        <item x="4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4"/>
  </rowFields>
  <rowItems count="7">
    <i>
      <x v="15"/>
    </i>
    <i>
      <x v="22"/>
    </i>
    <i>
      <x v="7"/>
    </i>
    <i>
      <x v="9"/>
    </i>
    <i>
      <x v="29"/>
    </i>
    <i>
      <x v="6"/>
    </i>
    <i t="grand">
      <x/>
    </i>
  </rowItems>
  <colItems count="1">
    <i/>
  </colItems>
  <dataFields count="1">
    <dataField name="Suma de Cantidad" fld="5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596E1-A013-474E-896D-4660FECBAC60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2:C14" firstHeaderRow="1" firstDataRow="1" firstDataCol="1"/>
  <pivotFields count="8">
    <pivotField numFmtId="14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>
      <items count="6">
        <item x="4"/>
        <item h="1" x="0"/>
        <item h="1" x="2"/>
        <item h="1" x="3"/>
        <item h="1" x="1"/>
        <item t="default"/>
      </items>
    </pivotField>
    <pivotField showAll="0">
      <items count="7">
        <item x="5"/>
        <item x="4"/>
        <item x="3"/>
        <item x="1"/>
        <item x="0"/>
        <item x="2"/>
        <item t="default"/>
      </items>
    </pivotField>
    <pivotField showAll="0">
      <items count="9">
        <item x="2"/>
        <item x="7"/>
        <item x="3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a de Total" fld="7" baseField="0" baseItem="0"/>
  </dataField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CE01C-1E7D-4158-863E-682179840580}" name="TablaEstatic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5:B56" firstHeaderRow="1" firstDataRow="1" firstDataCol="0"/>
  <pivotFields count="8">
    <pivotField numFmtId="14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4"/>
        <item x="0"/>
        <item x="2"/>
        <item x="3"/>
        <item x="1"/>
        <item t="default"/>
      </items>
    </pivotField>
    <pivotField showAll="0">
      <items count="7">
        <item x="5"/>
        <item x="4"/>
        <item x="3"/>
        <item x="1"/>
        <item x="0"/>
        <item x="2"/>
        <item t="default"/>
      </items>
    </pivotField>
    <pivotField showAll="0">
      <items count="9">
        <item x="2"/>
        <item x="7"/>
        <item x="3"/>
        <item x="0"/>
        <item x="4"/>
        <item x="1"/>
        <item x="6"/>
        <item x="5"/>
        <item t="default"/>
      </items>
    </pivotField>
    <pivotField showAll="0">
      <items count="31">
        <item x="15"/>
        <item x="17"/>
        <item x="12"/>
        <item x="23"/>
        <item x="1"/>
        <item x="21"/>
        <item x="6"/>
        <item x="11"/>
        <item x="19"/>
        <item x="10"/>
        <item x="8"/>
        <item x="26"/>
        <item x="9"/>
        <item x="16"/>
        <item x="20"/>
        <item x="24"/>
        <item x="29"/>
        <item x="2"/>
        <item x="14"/>
        <item x="28"/>
        <item x="13"/>
        <item x="5"/>
        <item x="0"/>
        <item x="27"/>
        <item x="18"/>
        <item x="3"/>
        <item x="7"/>
        <item x="25"/>
        <item x="4"/>
        <item x="22"/>
        <item t="default"/>
      </items>
    </pivotField>
    <pivotField showAll="0"/>
    <pivotField showAll="0"/>
    <pivotField dataField="1" showAll="0"/>
  </pivotFields>
  <rowItems count="1">
    <i/>
  </rowItems>
  <colItems count="1">
    <i/>
  </colItems>
  <dataFields count="1">
    <dataField name="Suma de Total" fld="7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11526-F6A7-4D83-87ED-9CD005328128}" name="TablaDiná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7:B48" firstHeaderRow="1" firstDataRow="1" firstDataCol="0"/>
  <pivotFields count="8">
    <pivotField numFmtId="14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4"/>
        <item h="1" x="0"/>
        <item h="1" x="2"/>
        <item h="1" x="3"/>
        <item h="1" x="1"/>
        <item t="default"/>
      </items>
    </pivotField>
    <pivotField showAll="0">
      <items count="7">
        <item x="5"/>
        <item x="4"/>
        <item x="3"/>
        <item x="1"/>
        <item x="0"/>
        <item x="2"/>
        <item t="default"/>
      </items>
    </pivotField>
    <pivotField showAll="0">
      <items count="9">
        <item x="2"/>
        <item x="7"/>
        <item x="3"/>
        <item x="0"/>
        <item x="4"/>
        <item x="1"/>
        <item x="6"/>
        <item x="5"/>
        <item t="default"/>
      </items>
    </pivotField>
    <pivotField showAll="0">
      <items count="31">
        <item x="15"/>
        <item x="17"/>
        <item x="12"/>
        <item x="23"/>
        <item x="1"/>
        <item x="21"/>
        <item x="6"/>
        <item x="11"/>
        <item x="19"/>
        <item x="10"/>
        <item x="8"/>
        <item x="26"/>
        <item x="9"/>
        <item x="16"/>
        <item x="20"/>
        <item x="24"/>
        <item x="29"/>
        <item x="2"/>
        <item x="14"/>
        <item x="28"/>
        <item x="13"/>
        <item x="5"/>
        <item x="0"/>
        <item x="27"/>
        <item x="18"/>
        <item x="3"/>
        <item x="7"/>
        <item x="25"/>
        <item x="4"/>
        <item x="22"/>
        <item t="default"/>
      </items>
    </pivotField>
    <pivotField dataField="1" showAll="0"/>
    <pivotField showAll="0"/>
    <pivotField showAll="0"/>
  </pivotFields>
  <rowItems count="1">
    <i/>
  </rowItems>
  <colItems count="1">
    <i/>
  </colItems>
  <dataFields count="1">
    <dataField name="Suma de Cantida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9D31F-7C27-4F52-BFC7-08440C9B7025}" name="TablaDinámica1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1">
  <location ref="B2:C4" firstHeaderRow="1" firstDataRow="1" firstDataCol="1"/>
  <pivotFields count="8">
    <pivotField numFmtId="14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>
      <items count="6">
        <item x="4"/>
        <item h="1" x="0"/>
        <item h="1" x="2"/>
        <item h="1" x="3"/>
        <item h="1" x="1"/>
        <item t="default"/>
      </items>
    </pivotField>
    <pivotField showAll="0">
      <items count="7">
        <item x="5"/>
        <item x="4"/>
        <item x="3"/>
        <item x="1"/>
        <item x="0"/>
        <item x="2"/>
        <item t="default"/>
      </items>
    </pivotField>
    <pivotField showAll="0">
      <items count="9">
        <item x="2"/>
        <item x="7"/>
        <item x="3"/>
        <item x="0"/>
        <item x="4"/>
        <item x="1"/>
        <item x="6"/>
        <item x="5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a de Cantidad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E72E9F2C-B72E-43EC-ACDF-F5CB564E0889}" sourceName="Fecha">
  <pivotTables>
    <pivotTable tabId="1" name="TablaDinámica2"/>
    <pivotTable tabId="1" name="TablaDinámica1"/>
    <pivotTable tabId="1" name="TablaDinámica10"/>
    <pivotTable tabId="1" name="TablaDinámica7"/>
    <pivotTable tabId="1" name="TablaDinámica8"/>
    <pivotTable tabId="1" name="TablaDinámica9"/>
  </pivotTables>
  <data>
    <tabular pivotCacheId="2090867078">
      <items count="499">
        <i x="6" s="1"/>
        <i x="16" s="1"/>
        <i x="27" s="1"/>
        <i x="33" s="1"/>
        <i x="44" s="1"/>
        <i x="52" s="1"/>
        <i x="69" s="1"/>
        <i x="71" s="1"/>
        <i x="73" s="1"/>
        <i x="87" s="1"/>
        <i x="88" s="1"/>
        <i x="92" s="1"/>
        <i x="93" s="1"/>
        <i x="95" s="1"/>
        <i x="96" s="1"/>
        <i x="97" s="1"/>
        <i x="118" s="1"/>
        <i x="126" s="1"/>
        <i x="127" s="1"/>
        <i x="130" s="1"/>
        <i x="131" s="1"/>
        <i x="133" s="1"/>
        <i x="147" s="1"/>
        <i x="150" s="1"/>
        <i x="154" s="1"/>
        <i x="155" s="1"/>
        <i x="168" s="1"/>
        <i x="172" s="1"/>
        <i x="174" s="1"/>
        <i x="175" s="1"/>
        <i x="180" s="1"/>
        <i x="182" s="1"/>
        <i x="185" s="1"/>
        <i x="188" s="1"/>
        <i x="195" s="1"/>
        <i x="209" s="1"/>
        <i x="212" s="1"/>
        <i x="216" s="1"/>
        <i x="223" s="1"/>
        <i x="224" s="1"/>
        <i x="225" s="1"/>
        <i x="234" s="1"/>
        <i x="238" s="1"/>
        <i x="249" s="1"/>
        <i x="251" s="1"/>
        <i x="254" s="1"/>
        <i x="255" s="1"/>
        <i x="256" s="1"/>
        <i x="266" s="1"/>
        <i x="267" s="1"/>
        <i x="271" s="1"/>
        <i x="280" s="1"/>
        <i x="281" s="1"/>
        <i x="282" s="1"/>
        <i x="287" s="1"/>
        <i x="291" s="1"/>
        <i x="294" s="1"/>
        <i x="309" s="1"/>
        <i x="314" s="1"/>
        <i x="318" s="1"/>
        <i x="321" s="1"/>
        <i x="328" s="1"/>
        <i x="329" s="1"/>
        <i x="332" s="1"/>
        <i x="340" s="1"/>
        <i x="350" s="1"/>
        <i x="351" s="1"/>
        <i x="352" s="1"/>
        <i x="356" s="1"/>
        <i x="357" s="1"/>
        <i x="358" s="1"/>
        <i x="361" s="1"/>
        <i x="363" s="1"/>
        <i x="368" s="1"/>
        <i x="370" s="1"/>
        <i x="372" s="1"/>
        <i x="374" s="1"/>
        <i x="389" s="1"/>
        <i x="390" s="1"/>
        <i x="396" s="1"/>
        <i x="397" s="1"/>
        <i x="405" s="1"/>
        <i x="406" s="1"/>
        <i x="407" s="1"/>
        <i x="408" s="1"/>
        <i x="410" s="1"/>
        <i x="414" s="1"/>
        <i x="421" s="1"/>
        <i x="425" s="1"/>
        <i x="426" s="1"/>
        <i x="429" s="1"/>
        <i x="430" s="1"/>
        <i x="434" s="1"/>
        <i x="452" s="1"/>
        <i x="454" s="1"/>
        <i x="461" s="1"/>
        <i x="462" s="1"/>
        <i x="465" s="1"/>
        <i x="469" s="1"/>
        <i x="474" s="1"/>
        <i x="479" s="1"/>
        <i x="0" s="1" nd="1"/>
        <i x="1" s="1" nd="1"/>
        <i x="2" s="1" nd="1"/>
        <i x="3" s="1" nd="1"/>
        <i x="4" s="1" nd="1"/>
        <i x="5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8" s="1" nd="1"/>
        <i x="29" s="1" nd="1"/>
        <i x="30" s="1" nd="1"/>
        <i x="31" s="1" nd="1"/>
        <i x="32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5" s="1" nd="1"/>
        <i x="46" s="1" nd="1"/>
        <i x="47" s="1" nd="1"/>
        <i x="48" s="1" nd="1"/>
        <i x="49" s="1" nd="1"/>
        <i x="50" s="1" nd="1"/>
        <i x="51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70" s="1" nd="1"/>
        <i x="72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9" s="1" nd="1"/>
        <i x="90" s="1" nd="1"/>
        <i x="91" s="1" nd="1"/>
        <i x="94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9" s="1" nd="1"/>
        <i x="120" s="1" nd="1"/>
        <i x="121" s="1" nd="1"/>
        <i x="122" s="1" nd="1"/>
        <i x="123" s="1" nd="1"/>
        <i x="124" s="1" nd="1"/>
        <i x="125" s="1" nd="1"/>
        <i x="128" s="1" nd="1"/>
        <i x="129" s="1" nd="1"/>
        <i x="132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8" s="1" nd="1"/>
        <i x="149" s="1" nd="1"/>
        <i x="151" s="1" nd="1"/>
        <i x="152" s="1" nd="1"/>
        <i x="153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9" s="1" nd="1"/>
        <i x="170" s="1" nd="1"/>
        <i x="171" s="1" nd="1"/>
        <i x="173" s="1" nd="1"/>
        <i x="176" s="1" nd="1"/>
        <i x="177" s="1" nd="1"/>
        <i x="178" s="1" nd="1"/>
        <i x="179" s="1" nd="1"/>
        <i x="181" s="1" nd="1"/>
        <i x="183" s="1" nd="1"/>
        <i x="184" s="1" nd="1"/>
        <i x="186" s="1" nd="1"/>
        <i x="187" s="1" nd="1"/>
        <i x="189" s="1" nd="1"/>
        <i x="190" s="1" nd="1"/>
        <i x="191" s="1" nd="1"/>
        <i x="192" s="1" nd="1"/>
        <i x="193" s="1" nd="1"/>
        <i x="194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10" s="1" nd="1"/>
        <i x="211" s="1" nd="1"/>
        <i x="213" s="1" nd="1"/>
        <i x="214" s="1" nd="1"/>
        <i x="215" s="1" nd="1"/>
        <i x="217" s="1" nd="1"/>
        <i x="218" s="1" nd="1"/>
        <i x="219" s="1" nd="1"/>
        <i x="220" s="1" nd="1"/>
        <i x="221" s="1" nd="1"/>
        <i x="222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5" s="1" nd="1"/>
        <i x="236" s="1" nd="1"/>
        <i x="237" s="1" nd="1"/>
        <i x="239" s="1" nd="1"/>
        <i x="240" s="1" nd="1"/>
        <i x="241" s="1" nd="1"/>
        <i x="242" s="1" nd="1"/>
        <i x="243" s="1" nd="1"/>
        <i x="244" s="1" nd="1"/>
        <i x="245" s="1" nd="1"/>
        <i x="246" s="1" nd="1"/>
        <i x="247" s="1" nd="1"/>
        <i x="248" s="1" nd="1"/>
        <i x="250" s="1" nd="1"/>
        <i x="252" s="1" nd="1"/>
        <i x="253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8" s="1" nd="1"/>
        <i x="269" s="1" nd="1"/>
        <i x="270" s="1" nd="1"/>
        <i x="272" s="1" nd="1"/>
        <i x="273" s="1" nd="1"/>
        <i x="274" s="1" nd="1"/>
        <i x="275" s="1" nd="1"/>
        <i x="276" s="1" nd="1"/>
        <i x="277" s="1" nd="1"/>
        <i x="278" s="1" nd="1"/>
        <i x="279" s="1" nd="1"/>
        <i x="283" s="1" nd="1"/>
        <i x="284" s="1" nd="1"/>
        <i x="285" s="1" nd="1"/>
        <i x="286" s="1" nd="1"/>
        <i x="288" s="1" nd="1"/>
        <i x="289" s="1" nd="1"/>
        <i x="290" s="1" nd="1"/>
        <i x="292" s="1" nd="1"/>
        <i x="293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305" s="1" nd="1"/>
        <i x="306" s="1" nd="1"/>
        <i x="307" s="1" nd="1"/>
        <i x="308" s="1" nd="1"/>
        <i x="310" s="1" nd="1"/>
        <i x="311" s="1" nd="1"/>
        <i x="312" s="1" nd="1"/>
        <i x="313" s="1" nd="1"/>
        <i x="315" s="1" nd="1"/>
        <i x="316" s="1" nd="1"/>
        <i x="317" s="1" nd="1"/>
        <i x="319" s="1" nd="1"/>
        <i x="320" s="1" nd="1"/>
        <i x="322" s="1" nd="1"/>
        <i x="323" s="1" nd="1"/>
        <i x="324" s="1" nd="1"/>
        <i x="325" s="1" nd="1"/>
        <i x="326" s="1" nd="1"/>
        <i x="327" s="1" nd="1"/>
        <i x="330" s="1" nd="1"/>
        <i x="331" s="1" nd="1"/>
        <i x="333" s="1" nd="1"/>
        <i x="334" s="1" nd="1"/>
        <i x="335" s="1" nd="1"/>
        <i x="336" s="1" nd="1"/>
        <i x="337" s="1" nd="1"/>
        <i x="338" s="1" nd="1"/>
        <i x="339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3" s="1" nd="1"/>
        <i x="354" s="1" nd="1"/>
        <i x="355" s="1" nd="1"/>
        <i x="359" s="1" nd="1"/>
        <i x="360" s="1" nd="1"/>
        <i x="362" s="1" nd="1"/>
        <i x="364" s="1" nd="1"/>
        <i x="365" s="1" nd="1"/>
        <i x="366" s="1" nd="1"/>
        <i x="367" s="1" nd="1"/>
        <i x="369" s="1" nd="1"/>
        <i x="371" s="1" nd="1"/>
        <i x="373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91" s="1" nd="1"/>
        <i x="392" s="1" nd="1"/>
        <i x="393" s="1" nd="1"/>
        <i x="394" s="1" nd="1"/>
        <i x="395" s="1" nd="1"/>
        <i x="398" s="1" nd="1"/>
        <i x="399" s="1" nd="1"/>
        <i x="400" s="1" nd="1"/>
        <i x="401" s="1" nd="1"/>
        <i x="402" s="1" nd="1"/>
        <i x="403" s="1" nd="1"/>
        <i x="404" s="1" nd="1"/>
        <i x="409" s="1" nd="1"/>
        <i x="411" s="1" nd="1"/>
        <i x="412" s="1" nd="1"/>
        <i x="413" s="1" nd="1"/>
        <i x="415" s="1" nd="1"/>
        <i x="416" s="1" nd="1"/>
        <i x="417" s="1" nd="1"/>
        <i x="418" s="1" nd="1"/>
        <i x="419" s="1" nd="1"/>
        <i x="420" s="1" nd="1"/>
        <i x="422" s="1" nd="1"/>
        <i x="423" s="1" nd="1"/>
        <i x="424" s="1" nd="1"/>
        <i x="427" s="1" nd="1"/>
        <i x="428" s="1" nd="1"/>
        <i x="431" s="1" nd="1"/>
        <i x="432" s="1" nd="1"/>
        <i x="433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3" s="1" nd="1"/>
        <i x="455" s="1" nd="1"/>
        <i x="456" s="1" nd="1"/>
        <i x="457" s="1" nd="1"/>
        <i x="458" s="1" nd="1"/>
        <i x="459" s="1" nd="1"/>
        <i x="460" s="1" nd="1"/>
        <i x="463" s="1" nd="1"/>
        <i x="464" s="1" nd="1"/>
        <i x="466" s="1" nd="1"/>
        <i x="467" s="1" nd="1"/>
        <i x="468" s="1" nd="1"/>
        <i x="470" s="1" nd="1"/>
        <i x="471" s="1" nd="1"/>
        <i x="472" s="1" nd="1"/>
        <i x="473" s="1" nd="1"/>
        <i x="475" s="1" nd="1"/>
        <i x="476" s="1" nd="1"/>
        <i x="477" s="1" nd="1"/>
        <i x="478" s="1" nd="1"/>
        <i x="480" s="1" nd="1"/>
        <i x="481" s="1" nd="1"/>
        <i x="482" s="1" nd="1"/>
        <i x="483" s="1" nd="1"/>
        <i x="484" s="1" nd="1"/>
        <i x="485" s="1" nd="1"/>
        <i x="486" s="1" nd="1"/>
        <i x="487" s="1" nd="1"/>
        <i x="488" s="1" nd="1"/>
        <i x="489" s="1" nd="1"/>
        <i x="490" s="1" nd="1"/>
        <i x="491" s="1" nd="1"/>
        <i x="492" s="1" nd="1"/>
        <i x="493" s="1" nd="1"/>
        <i x="494" s="1" nd="1"/>
        <i x="495" s="1" nd="1"/>
        <i x="496" s="1" nd="1"/>
        <i x="497" s="1" nd="1"/>
        <i x="498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enda" xr10:uid="{275FA36C-EECA-47EE-BF69-83DA04EC27EB}" sourceName="Tienda">
  <pivotTables>
    <pivotTable tabId="1" name="TablaDinámica2"/>
    <pivotTable tabId="1" name="TablaDinámica1"/>
    <pivotTable tabId="1" name="TablaDinámica10"/>
    <pivotTable tabId="1" name="TablaDinámica7"/>
    <pivotTable tabId="1" name="TablaDinámica8"/>
    <pivotTable tabId="1" name="TablaDinámica9"/>
  </pivotTables>
  <data>
    <tabular pivotCacheId="2090867078">
      <items count="5">
        <i x="4" s="1"/>
        <i x="0"/>
        <i x="2"/>
        <i x="3"/>
        <i x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_de_Producto" xr10:uid="{F42FD7E4-82B0-4BD1-B99E-5015C66438B5}" sourceName="Categoría de Producto">
  <pivotTables>
    <pivotTable tabId="1" name="TablaDinámica2"/>
    <pivotTable tabId="1" name="TablaDinámica1"/>
    <pivotTable tabId="1" name="TablaDinámica10"/>
    <pivotTable tabId="1" name="TablaDinámica7"/>
    <pivotTable tabId="1" name="TablaDinámica8"/>
    <pivotTable tabId="1" name="TablaDinámica9"/>
  </pivotTables>
  <data>
    <tabular pivotCacheId="2090867078">
      <items count="6">
        <i x="5" s="1"/>
        <i x="4" s="1"/>
        <i x="3" s="1"/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40B217AA-C65B-495D-AD42-D77984395A4E}" sourceName="Vendedor">
  <pivotTables>
    <pivotTable tabId="1" name="TablaDinámica2"/>
    <pivotTable tabId="1" name="TablaDinámica1"/>
    <pivotTable tabId="1" name="TablaDinámica10"/>
    <pivotTable tabId="1" name="TablaDinámica7"/>
    <pivotTable tabId="1" name="TablaDinámica8"/>
    <pivotTable tabId="1" name="TablaDinámica9"/>
  </pivotTables>
  <data>
    <tabular pivotCacheId="2090867078">
      <items count="8">
        <i x="2" s="1"/>
        <i x="7" s="1"/>
        <i x="3" s="1"/>
        <i x="0" s="1"/>
        <i x="4" s="1"/>
        <i x="1" s="1"/>
        <i x="6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7E1D5E55-EFBD-454B-A9BF-97178B21A7CE}" cache="SegmentaciónDeDatos_Fecha" caption="Fecha" startItem="24" style="SlicerStyleDark5 2" rowHeight="360000"/>
  <slicer name="Tienda" xr10:uid="{43329AD9-39B9-4660-AF0C-857588A9E6A4}" cache="SegmentaciónDeDatos_Tienda" caption="Tienda" style="SlicerStyleDark5 2" rowHeight="360000"/>
  <slicer name="Categoría de Producto" xr10:uid="{18A5D411-1FF1-4001-A761-7909B8A170BE}" cache="SegmentaciónDeDatos_Categoría_de_Producto" caption="Categoría de Producto" style="SlicerStyleDark5 2" rowHeight="360000"/>
  <slicer name="Vendedor" xr10:uid="{A073C82B-4211-49BD-9F46-C0175E7AF95B}" cache="SegmentaciónDeDatos_Vendedor" caption="Vendedor" style="SlicerStyleDark5 2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9BA9AB-0A62-4CB6-9F86-AB7350543F85}" name="Tabla1" displayName="Tabla1" ref="A1:H501" totalsRowShown="0" headerRowDxfId="8" headerRowBorderDxfId="7" tableBorderDxfId="6">
  <autoFilter ref="A1:H501" xr:uid="{BFBE3ACB-D8CB-4BF3-9249-CC6C905E2553}">
    <filterColumn colId="1">
      <filters>
        <filter val="Tienda E"/>
      </filters>
    </filterColumn>
  </autoFilter>
  <tableColumns count="8">
    <tableColumn id="1" xr3:uid="{02956833-ABCC-43E6-AB29-53C82F2C1B4A}" name="Fecha" dataDxfId="5"/>
    <tableColumn id="2" xr3:uid="{B9A91E15-DF47-4D0B-8D88-38E34ABB4721}" name="Tienda"/>
    <tableColumn id="3" xr3:uid="{E07885D3-5236-42C4-893D-0C4D3D7157CD}" name="Categoría de Producto"/>
    <tableColumn id="4" xr3:uid="{E4B30789-01F4-40EE-A109-B4221FDE09E0}" name="Vendedor"/>
    <tableColumn id="5" xr3:uid="{8FC38191-56C2-4E3D-9CC2-84CA0CDA99BA}" name="Producto"/>
    <tableColumn id="6" xr3:uid="{43404DC4-C259-4BE0-9ABB-3B71D2850BD4}" name="Cantidad"/>
    <tableColumn id="7" xr3:uid="{FCA64526-696D-476D-A781-782B82E15308}" name="Precio"/>
    <tableColumn id="8" xr3:uid="{40FC5FEB-E4E4-4A24-8D69-13E2EE7F20D8}" name="Total">
      <calculatedColumnFormula>F2*G2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F8D9FB5F-4FB7-4015-A02F-9D5F9F33E69A}" sourceName="Fecha">
  <pivotTables>
    <pivotTable tabId="1" name="TablaDinámica1"/>
  </pivotTables>
  <state minimalRefreshVersion="6" lastRefreshVersion="6" pivotCacheId="2090867078" filterType="unknown">
    <bounds startDate="2026-01-01T00:00:00" endDate="202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14CB5D63-C6E6-443B-A001-7CF5989AC46B}" cache="NativeTimeline_Fecha" caption="Fecha" level="2" selectionLevel="2" scrollPosition="2026-01-01T00:00:00" style="TimeSlicerStyleDark5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89EB-9ACE-4045-B8FB-91CA6460590A}">
  <sheetPr>
    <tabColor rgb="FF8B257F"/>
  </sheetPr>
  <dimension ref="A1:Z69"/>
  <sheetViews>
    <sheetView showGridLines="0" tabSelected="1" zoomScale="85" zoomScaleNormal="85" workbookViewId="0">
      <selection activeCell="X37" sqref="X37"/>
    </sheetView>
  </sheetViews>
  <sheetFormatPr baseColWidth="10" defaultRowHeight="15" x14ac:dyDescent="0.25"/>
  <sheetData>
    <row r="1" spans="1:26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A4C8-78D7-4D3F-AF5E-02978F2B2425}">
  <sheetPr>
    <tabColor rgb="FFFFFF00"/>
  </sheetPr>
  <dimension ref="B1:C60"/>
  <sheetViews>
    <sheetView workbookViewId="0">
      <selection activeCell="I47" sqref="I47"/>
    </sheetView>
  </sheetViews>
  <sheetFormatPr baseColWidth="10" defaultRowHeight="15" x14ac:dyDescent="0.25"/>
  <cols>
    <col min="2" max="2" width="13.5703125" bestFit="1" customWidth="1"/>
    <col min="3" max="3" width="17.42578125" bestFit="1" customWidth="1"/>
    <col min="4" max="4" width="13.5703125" bestFit="1" customWidth="1"/>
  </cols>
  <sheetData>
    <row r="1" spans="2:3" x14ac:dyDescent="0.25">
      <c r="B1" s="9" t="s">
        <v>63</v>
      </c>
      <c r="C1" s="9"/>
    </row>
    <row r="2" spans="2:3" x14ac:dyDescent="0.25">
      <c r="B2" s="5" t="s">
        <v>57</v>
      </c>
      <c r="C2" t="s">
        <v>59</v>
      </c>
    </row>
    <row r="3" spans="2:3" x14ac:dyDescent="0.25">
      <c r="B3" s="6" t="s">
        <v>27</v>
      </c>
      <c r="C3" s="11">
        <v>579</v>
      </c>
    </row>
    <row r="4" spans="2:3" x14ac:dyDescent="0.25">
      <c r="B4" s="6" t="s">
        <v>58</v>
      </c>
      <c r="C4" s="11">
        <v>579</v>
      </c>
    </row>
    <row r="11" spans="2:3" x14ac:dyDescent="0.25">
      <c r="B11" s="9" t="s">
        <v>64</v>
      </c>
      <c r="C11" s="9"/>
    </row>
    <row r="12" spans="2:3" x14ac:dyDescent="0.25">
      <c r="B12" s="5" t="s">
        <v>57</v>
      </c>
      <c r="C12" t="s">
        <v>60</v>
      </c>
    </row>
    <row r="13" spans="2:3" x14ac:dyDescent="0.25">
      <c r="B13" s="6" t="s">
        <v>27</v>
      </c>
      <c r="C13" s="11">
        <v>424228.05</v>
      </c>
    </row>
    <row r="14" spans="2:3" x14ac:dyDescent="0.25">
      <c r="B14" s="6" t="s">
        <v>58</v>
      </c>
      <c r="C14" s="11">
        <v>424228.05</v>
      </c>
    </row>
    <row r="21" spans="2:3" x14ac:dyDescent="0.25">
      <c r="B21" s="9" t="s">
        <v>61</v>
      </c>
      <c r="C21" s="9"/>
    </row>
    <row r="22" spans="2:3" x14ac:dyDescent="0.25">
      <c r="B22" s="5" t="s">
        <v>57</v>
      </c>
      <c r="C22" t="s">
        <v>59</v>
      </c>
    </row>
    <row r="23" spans="2:3" x14ac:dyDescent="0.25">
      <c r="B23" s="6" t="s">
        <v>51</v>
      </c>
      <c r="C23" s="11">
        <v>60</v>
      </c>
    </row>
    <row r="24" spans="2:3" x14ac:dyDescent="0.25">
      <c r="B24" s="6" t="s">
        <v>11</v>
      </c>
      <c r="C24" s="11">
        <v>40</v>
      </c>
    </row>
    <row r="25" spans="2:3" x14ac:dyDescent="0.25">
      <c r="B25" s="6" t="s">
        <v>35</v>
      </c>
      <c r="C25" s="11">
        <v>33</v>
      </c>
    </row>
    <row r="26" spans="2:3" x14ac:dyDescent="0.25">
      <c r="B26" s="6" t="s">
        <v>33</v>
      </c>
      <c r="C26" s="11">
        <v>32</v>
      </c>
    </row>
    <row r="27" spans="2:3" x14ac:dyDescent="0.25">
      <c r="B27" s="6" t="s">
        <v>49</v>
      </c>
      <c r="C27" s="11">
        <v>31</v>
      </c>
    </row>
    <row r="28" spans="2:3" x14ac:dyDescent="0.25">
      <c r="B28" s="6" t="s">
        <v>26</v>
      </c>
      <c r="C28" s="11">
        <v>31</v>
      </c>
    </row>
    <row r="29" spans="2:3" x14ac:dyDescent="0.25">
      <c r="B29" s="6" t="s">
        <v>58</v>
      </c>
      <c r="C29" s="11">
        <v>227</v>
      </c>
    </row>
    <row r="31" spans="2:3" x14ac:dyDescent="0.25">
      <c r="B31" s="9" t="s">
        <v>62</v>
      </c>
      <c r="C31" s="9"/>
    </row>
    <row r="32" spans="2:3" x14ac:dyDescent="0.25">
      <c r="B32" s="5" t="s">
        <v>57</v>
      </c>
      <c r="C32" t="s">
        <v>59</v>
      </c>
    </row>
    <row r="33" spans="2:3" x14ac:dyDescent="0.25">
      <c r="B33" s="6" t="s">
        <v>32</v>
      </c>
      <c r="C33" s="11">
        <v>4</v>
      </c>
    </row>
    <row r="34" spans="2:3" x14ac:dyDescent="0.25">
      <c r="B34" s="6" t="s">
        <v>45</v>
      </c>
      <c r="C34" s="11">
        <v>6</v>
      </c>
    </row>
    <row r="35" spans="2:3" x14ac:dyDescent="0.25">
      <c r="B35" s="6" t="s">
        <v>15</v>
      </c>
      <c r="C35" s="11">
        <v>8</v>
      </c>
    </row>
    <row r="36" spans="2:3" x14ac:dyDescent="0.25">
      <c r="B36" s="6" t="s">
        <v>44</v>
      </c>
      <c r="C36" s="11">
        <v>9</v>
      </c>
    </row>
    <row r="37" spans="2:3" x14ac:dyDescent="0.25">
      <c r="B37" s="6" t="s">
        <v>39</v>
      </c>
      <c r="C37" s="11">
        <v>12</v>
      </c>
    </row>
    <row r="38" spans="2:3" x14ac:dyDescent="0.25">
      <c r="B38" s="6" t="s">
        <v>58</v>
      </c>
      <c r="C38" s="11">
        <v>39</v>
      </c>
    </row>
    <row r="41" spans="2:3" x14ac:dyDescent="0.25">
      <c r="B41" s="9" t="s">
        <v>65</v>
      </c>
      <c r="C41" s="9"/>
    </row>
    <row r="42" spans="2:3" x14ac:dyDescent="0.25">
      <c r="B42" t="s">
        <v>60</v>
      </c>
    </row>
    <row r="43" spans="2:3" x14ac:dyDescent="0.25">
      <c r="B43" s="8">
        <v>424228.05</v>
      </c>
    </row>
    <row r="46" spans="2:3" x14ac:dyDescent="0.25">
      <c r="B46" s="9" t="s">
        <v>66</v>
      </c>
      <c r="C46" s="9"/>
    </row>
    <row r="47" spans="2:3" x14ac:dyDescent="0.25">
      <c r="B47" t="s">
        <v>59</v>
      </c>
    </row>
    <row r="48" spans="2:3" x14ac:dyDescent="0.25">
      <c r="B48" s="11">
        <v>579</v>
      </c>
    </row>
    <row r="55" spans="2:2" x14ac:dyDescent="0.25">
      <c r="B55" t="s">
        <v>60</v>
      </c>
    </row>
    <row r="56" spans="2:2" x14ac:dyDescent="0.25">
      <c r="B56" s="8">
        <v>2035144.7300000009</v>
      </c>
    </row>
    <row r="60" spans="2:2" x14ac:dyDescent="0.25">
      <c r="B60" s="7">
        <f>GETPIVOTDATA("Total",$B$42)*1/GETPIVOTDATA("Total",$B$55)</f>
        <v>0.20845104711545492</v>
      </c>
    </row>
  </sheetData>
  <mergeCells count="6">
    <mergeCell ref="B46:C46"/>
    <mergeCell ref="B21:C21"/>
    <mergeCell ref="B11:C11"/>
    <mergeCell ref="B31:C31"/>
    <mergeCell ref="B1:C1"/>
    <mergeCell ref="B41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55B8-34B1-4119-9B76-7C1B9AECE837}">
  <sheetPr>
    <tabColor rgb="FFFF0000"/>
  </sheetPr>
  <dimension ref="A1:H501"/>
  <sheetViews>
    <sheetView workbookViewId="0">
      <selection activeCell="H8" sqref="A1:H8"/>
    </sheetView>
  </sheetViews>
  <sheetFormatPr baseColWidth="10" defaultColWidth="9.140625" defaultRowHeight="15" x14ac:dyDescent="0.25"/>
  <cols>
    <col min="1" max="1" width="33.5703125" style="1" bestFit="1" customWidth="1"/>
    <col min="2" max="2" width="14.5703125" customWidth="1"/>
    <col min="3" max="3" width="22.7109375" customWidth="1"/>
    <col min="4" max="4" width="20.5703125" customWidth="1"/>
    <col min="5" max="5" width="28" bestFit="1" customWidth="1"/>
    <col min="6" max="7" width="21.140625" customWidth="1"/>
    <col min="8" max="8" width="19.28515625" customWidth="1"/>
    <col min="10" max="10" width="17.5703125" bestFit="1" customWidth="1"/>
    <col min="12" max="12" width="17.5703125" bestFit="1" customWidth="1"/>
  </cols>
  <sheetData>
    <row r="1" spans="1:8" s="4" customFormat="1" ht="33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idden="1" x14ac:dyDescent="0.25">
      <c r="A2" s="1">
        <v>46024</v>
      </c>
      <c r="B2" t="s">
        <v>8</v>
      </c>
      <c r="C2" t="s">
        <v>9</v>
      </c>
      <c r="D2" t="s">
        <v>10</v>
      </c>
      <c r="E2" t="s">
        <v>11</v>
      </c>
      <c r="F2">
        <v>6</v>
      </c>
      <c r="G2">
        <v>625.01</v>
      </c>
      <c r="H2">
        <f>F2*G2</f>
        <v>3750.06</v>
      </c>
    </row>
    <row r="3" spans="1:8" x14ac:dyDescent="0.25">
      <c r="A3" s="1">
        <v>46024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84.42</v>
      </c>
      <c r="H3">
        <f t="shared" ref="H3:H66" si="0">F3*G3</f>
        <v>84.42</v>
      </c>
    </row>
    <row r="4" spans="1:8" hidden="1" x14ac:dyDescent="0.25">
      <c r="A4" s="1">
        <v>46025</v>
      </c>
      <c r="B4" t="s">
        <v>16</v>
      </c>
      <c r="C4" t="s">
        <v>17</v>
      </c>
      <c r="D4" t="s">
        <v>14</v>
      </c>
      <c r="E4" t="s">
        <v>18</v>
      </c>
      <c r="F4">
        <v>5</v>
      </c>
      <c r="G4">
        <v>560.97</v>
      </c>
      <c r="H4">
        <f t="shared" si="0"/>
        <v>2804.8500000000004</v>
      </c>
    </row>
    <row r="5" spans="1:8" hidden="1" x14ac:dyDescent="0.25">
      <c r="A5" s="1">
        <v>46026</v>
      </c>
      <c r="B5" t="s">
        <v>19</v>
      </c>
      <c r="C5" t="s">
        <v>20</v>
      </c>
      <c r="D5" t="s">
        <v>21</v>
      </c>
      <c r="E5" t="s">
        <v>22</v>
      </c>
      <c r="F5">
        <v>10</v>
      </c>
      <c r="G5">
        <v>1197.81</v>
      </c>
      <c r="H5">
        <f t="shared" si="0"/>
        <v>11978.099999999999</v>
      </c>
    </row>
    <row r="6" spans="1:8" x14ac:dyDescent="0.25">
      <c r="A6" s="1">
        <v>46027</v>
      </c>
      <c r="B6" t="s">
        <v>12</v>
      </c>
      <c r="C6" t="s">
        <v>13</v>
      </c>
      <c r="D6" t="s">
        <v>14</v>
      </c>
      <c r="E6" t="s">
        <v>23</v>
      </c>
      <c r="F6">
        <v>2</v>
      </c>
      <c r="G6">
        <v>349.98</v>
      </c>
      <c r="H6">
        <f t="shared" si="0"/>
        <v>699.96</v>
      </c>
    </row>
    <row r="7" spans="1:8" hidden="1" x14ac:dyDescent="0.25">
      <c r="A7" s="1">
        <v>46028</v>
      </c>
      <c r="B7" t="s">
        <v>19</v>
      </c>
      <c r="C7" t="s">
        <v>17</v>
      </c>
      <c r="D7" t="s">
        <v>24</v>
      </c>
      <c r="E7" t="s">
        <v>25</v>
      </c>
      <c r="F7">
        <v>7</v>
      </c>
      <c r="G7">
        <v>353.77</v>
      </c>
      <c r="H7">
        <f t="shared" si="0"/>
        <v>2476.39</v>
      </c>
    </row>
    <row r="8" spans="1:8" x14ac:dyDescent="0.25">
      <c r="A8" s="1">
        <v>46029</v>
      </c>
      <c r="B8" t="s">
        <v>12</v>
      </c>
      <c r="C8" t="s">
        <v>17</v>
      </c>
      <c r="D8" t="s">
        <v>24</v>
      </c>
      <c r="E8" t="s">
        <v>26</v>
      </c>
      <c r="F8">
        <v>3</v>
      </c>
      <c r="G8">
        <v>821.79</v>
      </c>
      <c r="H8">
        <f t="shared" si="0"/>
        <v>2465.37</v>
      </c>
    </row>
    <row r="9" spans="1:8" hidden="1" x14ac:dyDescent="0.25">
      <c r="A9" s="1">
        <v>46030</v>
      </c>
      <c r="B9" t="s">
        <v>27</v>
      </c>
      <c r="C9" t="s">
        <v>20</v>
      </c>
      <c r="D9" t="s">
        <v>24</v>
      </c>
      <c r="E9" t="s">
        <v>28</v>
      </c>
      <c r="F9">
        <v>9</v>
      </c>
      <c r="G9">
        <v>575.49</v>
      </c>
      <c r="H9">
        <f t="shared" si="0"/>
        <v>5179.41</v>
      </c>
    </row>
    <row r="10" spans="1:8" x14ac:dyDescent="0.25">
      <c r="A10" s="1">
        <v>46031</v>
      </c>
      <c r="B10" t="s">
        <v>12</v>
      </c>
      <c r="C10" t="s">
        <v>29</v>
      </c>
      <c r="D10" t="s">
        <v>21</v>
      </c>
      <c r="E10" t="s">
        <v>30</v>
      </c>
      <c r="F10">
        <v>3</v>
      </c>
      <c r="G10">
        <v>1180.1500000000001</v>
      </c>
      <c r="H10">
        <f t="shared" si="0"/>
        <v>3540.4500000000003</v>
      </c>
    </row>
    <row r="11" spans="1:8" hidden="1" x14ac:dyDescent="0.25">
      <c r="A11" s="1">
        <v>46032</v>
      </c>
      <c r="B11" t="s">
        <v>8</v>
      </c>
      <c r="C11" t="s">
        <v>9</v>
      </c>
      <c r="D11" t="s">
        <v>31</v>
      </c>
      <c r="E11" t="s">
        <v>32</v>
      </c>
      <c r="F11">
        <v>8</v>
      </c>
      <c r="G11">
        <v>948.14</v>
      </c>
      <c r="H11">
        <f t="shared" si="0"/>
        <v>7585.12</v>
      </c>
    </row>
    <row r="12" spans="1:8" x14ac:dyDescent="0.25">
      <c r="A12" s="1">
        <v>46033</v>
      </c>
      <c r="B12" t="s">
        <v>12</v>
      </c>
      <c r="C12" t="s">
        <v>13</v>
      </c>
      <c r="D12" t="s">
        <v>10</v>
      </c>
      <c r="E12" t="s">
        <v>15</v>
      </c>
      <c r="F12">
        <v>7</v>
      </c>
      <c r="G12">
        <v>1439.39</v>
      </c>
      <c r="H12">
        <f t="shared" si="0"/>
        <v>10075.730000000001</v>
      </c>
    </row>
    <row r="13" spans="1:8" x14ac:dyDescent="0.25">
      <c r="A13" s="1">
        <v>46034</v>
      </c>
      <c r="B13" t="s">
        <v>12</v>
      </c>
      <c r="C13" t="s">
        <v>9</v>
      </c>
      <c r="D13" t="s">
        <v>31</v>
      </c>
      <c r="E13" t="s">
        <v>33</v>
      </c>
      <c r="F13">
        <v>6</v>
      </c>
      <c r="G13">
        <v>242.24</v>
      </c>
      <c r="H13">
        <f t="shared" si="0"/>
        <v>1453.44</v>
      </c>
    </row>
    <row r="14" spans="1:8" x14ac:dyDescent="0.25">
      <c r="A14" s="1">
        <v>46035</v>
      </c>
      <c r="B14" t="s">
        <v>12</v>
      </c>
      <c r="C14" t="s">
        <v>34</v>
      </c>
      <c r="D14" t="s">
        <v>31</v>
      </c>
      <c r="E14" t="s">
        <v>35</v>
      </c>
      <c r="F14">
        <v>2</v>
      </c>
      <c r="G14">
        <v>1046.6199999999999</v>
      </c>
      <c r="H14">
        <f t="shared" si="0"/>
        <v>2093.2399999999998</v>
      </c>
    </row>
    <row r="15" spans="1:8" hidden="1" x14ac:dyDescent="0.25">
      <c r="A15" s="1">
        <v>46036</v>
      </c>
      <c r="B15" t="s">
        <v>8</v>
      </c>
      <c r="C15" t="s">
        <v>29</v>
      </c>
      <c r="D15" t="s">
        <v>31</v>
      </c>
      <c r="E15" t="s">
        <v>36</v>
      </c>
      <c r="F15">
        <v>7</v>
      </c>
      <c r="G15">
        <v>35.19</v>
      </c>
      <c r="H15">
        <f t="shared" si="0"/>
        <v>246.32999999999998</v>
      </c>
    </row>
    <row r="16" spans="1:8" hidden="1" x14ac:dyDescent="0.25">
      <c r="A16" s="1">
        <v>46037</v>
      </c>
      <c r="B16" t="s">
        <v>8</v>
      </c>
      <c r="C16" t="s">
        <v>13</v>
      </c>
      <c r="D16" t="s">
        <v>10</v>
      </c>
      <c r="E16" t="s">
        <v>37</v>
      </c>
      <c r="F16">
        <v>1</v>
      </c>
      <c r="G16">
        <v>828.19</v>
      </c>
      <c r="H16">
        <f t="shared" si="0"/>
        <v>828.19</v>
      </c>
    </row>
    <row r="17" spans="1:8" hidden="1" x14ac:dyDescent="0.25">
      <c r="A17" s="1">
        <v>46038</v>
      </c>
      <c r="B17" t="s">
        <v>19</v>
      </c>
      <c r="C17" t="s">
        <v>34</v>
      </c>
      <c r="D17" t="s">
        <v>31</v>
      </c>
      <c r="E17" t="s">
        <v>38</v>
      </c>
      <c r="F17">
        <v>8</v>
      </c>
      <c r="G17">
        <v>562.22</v>
      </c>
      <c r="H17">
        <f t="shared" si="0"/>
        <v>4497.76</v>
      </c>
    </row>
    <row r="18" spans="1:8" hidden="1" x14ac:dyDescent="0.25">
      <c r="A18" s="1">
        <v>46039</v>
      </c>
      <c r="B18" t="s">
        <v>16</v>
      </c>
      <c r="C18" t="s">
        <v>20</v>
      </c>
      <c r="D18" t="s">
        <v>14</v>
      </c>
      <c r="E18" t="s">
        <v>39</v>
      </c>
      <c r="F18">
        <v>6</v>
      </c>
      <c r="G18">
        <v>971.14</v>
      </c>
      <c r="H18">
        <f t="shared" si="0"/>
        <v>5826.84</v>
      </c>
    </row>
    <row r="19" spans="1:8" hidden="1" x14ac:dyDescent="0.25">
      <c r="A19" s="1">
        <v>46040</v>
      </c>
      <c r="B19" t="s">
        <v>27</v>
      </c>
      <c r="C19" t="s">
        <v>13</v>
      </c>
      <c r="D19" t="s">
        <v>31</v>
      </c>
      <c r="E19" t="s">
        <v>37</v>
      </c>
      <c r="F19">
        <v>7</v>
      </c>
      <c r="G19">
        <v>921.18</v>
      </c>
      <c r="H19">
        <f t="shared" si="0"/>
        <v>6448.2599999999993</v>
      </c>
    </row>
    <row r="20" spans="1:8" hidden="1" x14ac:dyDescent="0.25">
      <c r="A20" s="1">
        <v>46041</v>
      </c>
      <c r="B20" t="s">
        <v>19</v>
      </c>
      <c r="C20" t="s">
        <v>29</v>
      </c>
      <c r="D20" t="s">
        <v>14</v>
      </c>
      <c r="E20" t="s">
        <v>30</v>
      </c>
      <c r="F20">
        <v>3</v>
      </c>
      <c r="G20">
        <v>468.57</v>
      </c>
      <c r="H20">
        <f t="shared" si="0"/>
        <v>1405.71</v>
      </c>
    </row>
    <row r="21" spans="1:8" hidden="1" x14ac:dyDescent="0.25">
      <c r="A21" s="1">
        <v>46042</v>
      </c>
      <c r="B21" t="s">
        <v>19</v>
      </c>
      <c r="C21" t="s">
        <v>13</v>
      </c>
      <c r="D21" t="s">
        <v>31</v>
      </c>
      <c r="E21" t="s">
        <v>40</v>
      </c>
      <c r="F21">
        <v>10</v>
      </c>
      <c r="G21">
        <v>1132.23</v>
      </c>
      <c r="H21">
        <f t="shared" si="0"/>
        <v>11322.3</v>
      </c>
    </row>
    <row r="22" spans="1:8" hidden="1" x14ac:dyDescent="0.25">
      <c r="A22" s="1">
        <v>46043</v>
      </c>
      <c r="B22" t="s">
        <v>16</v>
      </c>
      <c r="C22" t="s">
        <v>9</v>
      </c>
      <c r="D22" t="s">
        <v>41</v>
      </c>
      <c r="E22" t="s">
        <v>33</v>
      </c>
      <c r="F22">
        <v>10</v>
      </c>
      <c r="G22">
        <v>124.49</v>
      </c>
      <c r="H22">
        <f t="shared" si="0"/>
        <v>1244.8999999999999</v>
      </c>
    </row>
    <row r="23" spans="1:8" hidden="1" x14ac:dyDescent="0.25">
      <c r="A23" s="1">
        <v>46044</v>
      </c>
      <c r="B23" t="s">
        <v>19</v>
      </c>
      <c r="C23" t="s">
        <v>17</v>
      </c>
      <c r="D23" t="s">
        <v>10</v>
      </c>
      <c r="E23" t="s">
        <v>25</v>
      </c>
      <c r="F23">
        <v>3</v>
      </c>
      <c r="G23">
        <v>791.73</v>
      </c>
      <c r="H23">
        <f t="shared" si="0"/>
        <v>2375.19</v>
      </c>
    </row>
    <row r="24" spans="1:8" x14ac:dyDescent="0.25">
      <c r="A24" s="1">
        <v>46045</v>
      </c>
      <c r="B24" t="s">
        <v>12</v>
      </c>
      <c r="C24" t="s">
        <v>9</v>
      </c>
      <c r="D24" t="s">
        <v>10</v>
      </c>
      <c r="E24" t="s">
        <v>42</v>
      </c>
      <c r="F24">
        <v>7</v>
      </c>
      <c r="G24">
        <v>1334.38</v>
      </c>
      <c r="H24">
        <f t="shared" si="0"/>
        <v>9340.66</v>
      </c>
    </row>
    <row r="25" spans="1:8" hidden="1" x14ac:dyDescent="0.25">
      <c r="A25" s="1">
        <v>46046</v>
      </c>
      <c r="B25" t="s">
        <v>16</v>
      </c>
      <c r="C25" t="s">
        <v>17</v>
      </c>
      <c r="D25" t="s">
        <v>21</v>
      </c>
      <c r="E25" t="s">
        <v>18</v>
      </c>
      <c r="F25">
        <v>2</v>
      </c>
      <c r="G25">
        <v>738.55</v>
      </c>
      <c r="H25">
        <f t="shared" si="0"/>
        <v>1477.1</v>
      </c>
    </row>
    <row r="26" spans="1:8" x14ac:dyDescent="0.25">
      <c r="A26" s="1">
        <v>46047</v>
      </c>
      <c r="B26" t="s">
        <v>12</v>
      </c>
      <c r="C26" t="s">
        <v>34</v>
      </c>
      <c r="D26" t="s">
        <v>43</v>
      </c>
      <c r="E26" t="s">
        <v>44</v>
      </c>
      <c r="F26">
        <v>3</v>
      </c>
      <c r="G26">
        <v>51.06</v>
      </c>
      <c r="H26">
        <f t="shared" si="0"/>
        <v>153.18</v>
      </c>
    </row>
    <row r="27" spans="1:8" hidden="1" x14ac:dyDescent="0.25">
      <c r="A27" s="1">
        <v>46048</v>
      </c>
      <c r="B27" t="s">
        <v>19</v>
      </c>
      <c r="C27" t="s">
        <v>29</v>
      </c>
      <c r="D27" t="s">
        <v>21</v>
      </c>
      <c r="E27" t="s">
        <v>45</v>
      </c>
      <c r="F27">
        <v>9</v>
      </c>
      <c r="G27">
        <v>1055.75</v>
      </c>
      <c r="H27">
        <f t="shared" si="0"/>
        <v>9501.75</v>
      </c>
    </row>
    <row r="28" spans="1:8" hidden="1" x14ac:dyDescent="0.25">
      <c r="A28" s="1">
        <v>46049</v>
      </c>
      <c r="B28" t="s">
        <v>19</v>
      </c>
      <c r="C28" t="s">
        <v>17</v>
      </c>
      <c r="D28" t="s">
        <v>43</v>
      </c>
      <c r="E28" t="s">
        <v>26</v>
      </c>
      <c r="F28">
        <v>10</v>
      </c>
      <c r="G28">
        <v>137.61000000000001</v>
      </c>
      <c r="H28">
        <f t="shared" si="0"/>
        <v>1376.1000000000001</v>
      </c>
    </row>
    <row r="29" spans="1:8" hidden="1" x14ac:dyDescent="0.25">
      <c r="A29" s="1">
        <v>46050</v>
      </c>
      <c r="B29" t="s">
        <v>16</v>
      </c>
      <c r="C29" t="s">
        <v>17</v>
      </c>
      <c r="D29" t="s">
        <v>41</v>
      </c>
      <c r="E29" t="s">
        <v>26</v>
      </c>
      <c r="F29">
        <v>4</v>
      </c>
      <c r="G29">
        <v>610.54</v>
      </c>
      <c r="H29">
        <f t="shared" si="0"/>
        <v>2442.16</v>
      </c>
    </row>
    <row r="30" spans="1:8" hidden="1" x14ac:dyDescent="0.25">
      <c r="A30" s="1">
        <v>46051</v>
      </c>
      <c r="B30" t="s">
        <v>27</v>
      </c>
      <c r="C30" t="s">
        <v>34</v>
      </c>
      <c r="D30" t="s">
        <v>46</v>
      </c>
      <c r="E30" t="s">
        <v>47</v>
      </c>
      <c r="F30">
        <v>7</v>
      </c>
      <c r="G30">
        <v>624.38</v>
      </c>
      <c r="H30">
        <f t="shared" si="0"/>
        <v>4370.66</v>
      </c>
    </row>
    <row r="31" spans="1:8" hidden="1" x14ac:dyDescent="0.25">
      <c r="A31" s="1">
        <v>46052</v>
      </c>
      <c r="B31" t="s">
        <v>16</v>
      </c>
      <c r="C31" t="s">
        <v>17</v>
      </c>
      <c r="D31" t="s">
        <v>21</v>
      </c>
      <c r="E31" t="s">
        <v>48</v>
      </c>
      <c r="F31">
        <v>5</v>
      </c>
      <c r="G31">
        <v>529.52</v>
      </c>
      <c r="H31">
        <f t="shared" si="0"/>
        <v>2647.6</v>
      </c>
    </row>
    <row r="32" spans="1:8" x14ac:dyDescent="0.25">
      <c r="A32" s="1">
        <v>46053</v>
      </c>
      <c r="B32" t="s">
        <v>12</v>
      </c>
      <c r="C32" t="s">
        <v>13</v>
      </c>
      <c r="D32" t="s">
        <v>46</v>
      </c>
      <c r="E32" t="s">
        <v>23</v>
      </c>
      <c r="F32">
        <v>9</v>
      </c>
      <c r="G32">
        <v>1452.03</v>
      </c>
      <c r="H32">
        <f t="shared" si="0"/>
        <v>13068.27</v>
      </c>
    </row>
    <row r="33" spans="1:8" hidden="1" x14ac:dyDescent="0.25">
      <c r="A33" s="1">
        <v>46054</v>
      </c>
      <c r="B33" t="s">
        <v>19</v>
      </c>
      <c r="C33" t="s">
        <v>9</v>
      </c>
      <c r="D33" t="s">
        <v>24</v>
      </c>
      <c r="E33" t="s">
        <v>42</v>
      </c>
      <c r="F33">
        <v>3</v>
      </c>
      <c r="G33">
        <v>691.78</v>
      </c>
      <c r="H33">
        <f t="shared" si="0"/>
        <v>2075.34</v>
      </c>
    </row>
    <row r="34" spans="1:8" hidden="1" x14ac:dyDescent="0.25">
      <c r="A34" s="1">
        <v>46055</v>
      </c>
      <c r="B34" t="s">
        <v>19</v>
      </c>
      <c r="C34" t="s">
        <v>9</v>
      </c>
      <c r="D34" t="s">
        <v>24</v>
      </c>
      <c r="E34" t="s">
        <v>33</v>
      </c>
      <c r="F34">
        <v>4</v>
      </c>
      <c r="G34">
        <v>1044.31</v>
      </c>
      <c r="H34">
        <f t="shared" si="0"/>
        <v>4177.24</v>
      </c>
    </row>
    <row r="35" spans="1:8" x14ac:dyDescent="0.25">
      <c r="A35" s="1">
        <v>46056</v>
      </c>
      <c r="B35" t="s">
        <v>12</v>
      </c>
      <c r="C35" t="s">
        <v>29</v>
      </c>
      <c r="D35" t="s">
        <v>24</v>
      </c>
      <c r="E35" t="s">
        <v>45</v>
      </c>
      <c r="F35">
        <v>10</v>
      </c>
      <c r="G35">
        <v>916.87</v>
      </c>
      <c r="H35">
        <f t="shared" si="0"/>
        <v>9168.7000000000007</v>
      </c>
    </row>
    <row r="36" spans="1:8" hidden="1" x14ac:dyDescent="0.25">
      <c r="A36" s="1">
        <v>46057</v>
      </c>
      <c r="B36" t="s">
        <v>27</v>
      </c>
      <c r="C36" t="s">
        <v>9</v>
      </c>
      <c r="D36" t="s">
        <v>43</v>
      </c>
      <c r="E36" t="s">
        <v>42</v>
      </c>
      <c r="F36">
        <v>7</v>
      </c>
      <c r="G36">
        <v>281.01</v>
      </c>
      <c r="H36">
        <f t="shared" si="0"/>
        <v>1967.07</v>
      </c>
    </row>
    <row r="37" spans="1:8" x14ac:dyDescent="0.25">
      <c r="A37" s="1">
        <v>46058</v>
      </c>
      <c r="B37" t="s">
        <v>12</v>
      </c>
      <c r="C37" t="s">
        <v>17</v>
      </c>
      <c r="D37" t="s">
        <v>43</v>
      </c>
      <c r="E37" t="s">
        <v>49</v>
      </c>
      <c r="F37">
        <v>9</v>
      </c>
      <c r="G37">
        <v>1322.93</v>
      </c>
      <c r="H37">
        <f t="shared" si="0"/>
        <v>11906.37</v>
      </c>
    </row>
    <row r="38" spans="1:8" x14ac:dyDescent="0.25">
      <c r="A38" s="1">
        <v>46059</v>
      </c>
      <c r="B38" t="s">
        <v>12</v>
      </c>
      <c r="C38" t="s">
        <v>34</v>
      </c>
      <c r="D38" t="s">
        <v>24</v>
      </c>
      <c r="E38" t="s">
        <v>35</v>
      </c>
      <c r="F38">
        <v>4</v>
      </c>
      <c r="G38">
        <v>1441.24</v>
      </c>
      <c r="H38">
        <f t="shared" si="0"/>
        <v>5764.96</v>
      </c>
    </row>
    <row r="39" spans="1:8" hidden="1" x14ac:dyDescent="0.25">
      <c r="A39" s="1">
        <v>46060</v>
      </c>
      <c r="B39" t="s">
        <v>8</v>
      </c>
      <c r="C39" t="s">
        <v>34</v>
      </c>
      <c r="D39" t="s">
        <v>43</v>
      </c>
      <c r="E39" t="s">
        <v>38</v>
      </c>
      <c r="F39">
        <v>4</v>
      </c>
      <c r="G39">
        <v>74.849999999999994</v>
      </c>
      <c r="H39">
        <f t="shared" si="0"/>
        <v>299.39999999999998</v>
      </c>
    </row>
    <row r="40" spans="1:8" hidden="1" x14ac:dyDescent="0.25">
      <c r="A40" s="1">
        <v>46061</v>
      </c>
      <c r="B40" t="s">
        <v>19</v>
      </c>
      <c r="C40" t="s">
        <v>29</v>
      </c>
      <c r="D40" t="s">
        <v>43</v>
      </c>
      <c r="E40" t="s">
        <v>50</v>
      </c>
      <c r="F40">
        <v>10</v>
      </c>
      <c r="G40">
        <v>1242.53</v>
      </c>
      <c r="H40">
        <f t="shared" si="0"/>
        <v>12425.3</v>
      </c>
    </row>
    <row r="41" spans="1:8" hidden="1" x14ac:dyDescent="0.25">
      <c r="A41" s="1">
        <v>46062</v>
      </c>
      <c r="B41" t="s">
        <v>8</v>
      </c>
      <c r="C41" t="s">
        <v>17</v>
      </c>
      <c r="D41" t="s">
        <v>24</v>
      </c>
      <c r="E41" t="s">
        <v>18</v>
      </c>
      <c r="F41">
        <v>2</v>
      </c>
      <c r="G41">
        <v>63.27</v>
      </c>
      <c r="H41">
        <f t="shared" si="0"/>
        <v>126.54</v>
      </c>
    </row>
    <row r="42" spans="1:8" hidden="1" x14ac:dyDescent="0.25">
      <c r="A42" s="1">
        <v>46063</v>
      </c>
      <c r="B42" t="s">
        <v>8</v>
      </c>
      <c r="C42" t="s">
        <v>20</v>
      </c>
      <c r="D42" t="s">
        <v>21</v>
      </c>
      <c r="E42" t="s">
        <v>28</v>
      </c>
      <c r="F42">
        <v>6</v>
      </c>
      <c r="G42">
        <v>1115.8499999999999</v>
      </c>
      <c r="H42">
        <f t="shared" si="0"/>
        <v>6695.0999999999995</v>
      </c>
    </row>
    <row r="43" spans="1:8" hidden="1" x14ac:dyDescent="0.25">
      <c r="A43" s="1">
        <v>46064</v>
      </c>
      <c r="B43" t="s">
        <v>19</v>
      </c>
      <c r="C43" t="s">
        <v>34</v>
      </c>
      <c r="D43" t="s">
        <v>10</v>
      </c>
      <c r="E43" t="s">
        <v>38</v>
      </c>
      <c r="F43">
        <v>1</v>
      </c>
      <c r="G43">
        <v>160.01</v>
      </c>
      <c r="H43">
        <f t="shared" si="0"/>
        <v>160.01</v>
      </c>
    </row>
    <row r="44" spans="1:8" x14ac:dyDescent="0.25">
      <c r="A44" s="1">
        <v>46065</v>
      </c>
      <c r="B44" t="s">
        <v>12</v>
      </c>
      <c r="C44" t="s">
        <v>17</v>
      </c>
      <c r="D44" t="s">
        <v>41</v>
      </c>
      <c r="E44" t="s">
        <v>25</v>
      </c>
      <c r="F44">
        <v>8</v>
      </c>
      <c r="G44">
        <v>1094.06</v>
      </c>
      <c r="H44">
        <f t="shared" si="0"/>
        <v>8752.48</v>
      </c>
    </row>
    <row r="45" spans="1:8" hidden="1" x14ac:dyDescent="0.25">
      <c r="A45" s="1">
        <v>46066</v>
      </c>
      <c r="B45" t="s">
        <v>16</v>
      </c>
      <c r="C45" t="s">
        <v>9</v>
      </c>
      <c r="D45" t="s">
        <v>46</v>
      </c>
      <c r="E45" t="s">
        <v>11</v>
      </c>
      <c r="F45">
        <v>3</v>
      </c>
      <c r="G45">
        <v>1159.1500000000001</v>
      </c>
      <c r="H45">
        <f t="shared" si="0"/>
        <v>3477.4500000000003</v>
      </c>
    </row>
    <row r="46" spans="1:8" hidden="1" x14ac:dyDescent="0.25">
      <c r="A46" s="1">
        <v>46067</v>
      </c>
      <c r="B46" t="s">
        <v>16</v>
      </c>
      <c r="C46" t="s">
        <v>13</v>
      </c>
      <c r="D46" t="s">
        <v>21</v>
      </c>
      <c r="E46" t="s">
        <v>51</v>
      </c>
      <c r="F46">
        <v>10</v>
      </c>
      <c r="G46">
        <v>1172.8499999999999</v>
      </c>
      <c r="H46">
        <f t="shared" si="0"/>
        <v>11728.5</v>
      </c>
    </row>
    <row r="47" spans="1:8" hidden="1" x14ac:dyDescent="0.25">
      <c r="A47" s="1">
        <v>46068</v>
      </c>
      <c r="B47" t="s">
        <v>27</v>
      </c>
      <c r="C47" t="s">
        <v>34</v>
      </c>
      <c r="D47" t="s">
        <v>41</v>
      </c>
      <c r="E47" t="s">
        <v>35</v>
      </c>
      <c r="F47">
        <v>6</v>
      </c>
      <c r="G47">
        <v>1265.68</v>
      </c>
      <c r="H47">
        <f t="shared" si="0"/>
        <v>7594.08</v>
      </c>
    </row>
    <row r="48" spans="1:8" hidden="1" x14ac:dyDescent="0.25">
      <c r="A48" s="1">
        <v>46069</v>
      </c>
      <c r="B48" t="s">
        <v>8</v>
      </c>
      <c r="C48" t="s">
        <v>17</v>
      </c>
      <c r="D48" t="s">
        <v>14</v>
      </c>
      <c r="E48" t="s">
        <v>18</v>
      </c>
      <c r="F48">
        <v>2</v>
      </c>
      <c r="G48">
        <v>1012.88</v>
      </c>
      <c r="H48">
        <f t="shared" si="0"/>
        <v>2025.76</v>
      </c>
    </row>
    <row r="49" spans="1:8" hidden="1" x14ac:dyDescent="0.25">
      <c r="A49" s="1">
        <v>46070</v>
      </c>
      <c r="B49" t="s">
        <v>16</v>
      </c>
      <c r="C49" t="s">
        <v>17</v>
      </c>
      <c r="D49" t="s">
        <v>46</v>
      </c>
      <c r="E49" t="s">
        <v>18</v>
      </c>
      <c r="F49">
        <v>7</v>
      </c>
      <c r="G49">
        <v>397.61</v>
      </c>
      <c r="H49">
        <f t="shared" si="0"/>
        <v>2783.27</v>
      </c>
    </row>
    <row r="50" spans="1:8" hidden="1" x14ac:dyDescent="0.25">
      <c r="A50" s="1">
        <v>46071</v>
      </c>
      <c r="B50" t="s">
        <v>8</v>
      </c>
      <c r="C50" t="s">
        <v>17</v>
      </c>
      <c r="D50" t="s">
        <v>46</v>
      </c>
      <c r="E50" t="s">
        <v>18</v>
      </c>
      <c r="F50">
        <v>2</v>
      </c>
      <c r="G50">
        <v>200.42</v>
      </c>
      <c r="H50">
        <f t="shared" si="0"/>
        <v>400.84</v>
      </c>
    </row>
    <row r="51" spans="1:8" hidden="1" x14ac:dyDescent="0.25">
      <c r="A51" s="1">
        <v>46072</v>
      </c>
      <c r="B51" t="s">
        <v>16</v>
      </c>
      <c r="C51" t="s">
        <v>9</v>
      </c>
      <c r="D51" t="s">
        <v>14</v>
      </c>
      <c r="E51" t="s">
        <v>11</v>
      </c>
      <c r="F51">
        <v>4</v>
      </c>
      <c r="G51">
        <v>1152.99</v>
      </c>
      <c r="H51">
        <f t="shared" si="0"/>
        <v>4611.96</v>
      </c>
    </row>
    <row r="52" spans="1:8" hidden="1" x14ac:dyDescent="0.25">
      <c r="A52" s="1">
        <v>46073</v>
      </c>
      <c r="B52" t="s">
        <v>19</v>
      </c>
      <c r="C52" t="s">
        <v>20</v>
      </c>
      <c r="D52" t="s">
        <v>24</v>
      </c>
      <c r="E52" t="s">
        <v>52</v>
      </c>
      <c r="F52">
        <v>2</v>
      </c>
      <c r="G52">
        <v>308.88</v>
      </c>
      <c r="H52">
        <f t="shared" si="0"/>
        <v>617.76</v>
      </c>
    </row>
    <row r="53" spans="1:8" x14ac:dyDescent="0.25">
      <c r="A53" s="1">
        <v>46074</v>
      </c>
      <c r="B53" t="s">
        <v>12</v>
      </c>
      <c r="C53" t="s">
        <v>13</v>
      </c>
      <c r="D53" t="s">
        <v>46</v>
      </c>
      <c r="E53" t="s">
        <v>51</v>
      </c>
      <c r="F53">
        <v>7</v>
      </c>
      <c r="G53">
        <v>1391.47</v>
      </c>
      <c r="H53">
        <f t="shared" si="0"/>
        <v>9740.2900000000009</v>
      </c>
    </row>
    <row r="54" spans="1:8" x14ac:dyDescent="0.25">
      <c r="A54" s="1">
        <v>46075</v>
      </c>
      <c r="B54" t="s">
        <v>12</v>
      </c>
      <c r="C54" t="s">
        <v>34</v>
      </c>
      <c r="D54" t="s">
        <v>21</v>
      </c>
      <c r="E54" t="s">
        <v>35</v>
      </c>
      <c r="F54">
        <v>3</v>
      </c>
      <c r="G54">
        <v>1372.26</v>
      </c>
      <c r="H54">
        <f t="shared" si="0"/>
        <v>4116.78</v>
      </c>
    </row>
    <row r="55" spans="1:8" hidden="1" x14ac:dyDescent="0.25">
      <c r="A55" s="1">
        <v>46076</v>
      </c>
      <c r="B55" t="s">
        <v>27</v>
      </c>
      <c r="C55" t="s">
        <v>17</v>
      </c>
      <c r="D55" t="s">
        <v>41</v>
      </c>
      <c r="E55" t="s">
        <v>26</v>
      </c>
      <c r="F55">
        <v>5</v>
      </c>
      <c r="G55">
        <v>967.49</v>
      </c>
      <c r="H55">
        <f t="shared" si="0"/>
        <v>4837.45</v>
      </c>
    </row>
    <row r="56" spans="1:8" hidden="1" x14ac:dyDescent="0.25">
      <c r="A56" s="1">
        <v>46077</v>
      </c>
      <c r="B56" t="s">
        <v>19</v>
      </c>
      <c r="C56" t="s">
        <v>34</v>
      </c>
      <c r="D56" t="s">
        <v>41</v>
      </c>
      <c r="E56" t="s">
        <v>47</v>
      </c>
      <c r="F56">
        <v>2</v>
      </c>
      <c r="G56">
        <v>384.9</v>
      </c>
      <c r="H56">
        <f t="shared" si="0"/>
        <v>769.8</v>
      </c>
    </row>
    <row r="57" spans="1:8" hidden="1" x14ac:dyDescent="0.25">
      <c r="A57" s="1">
        <v>46078</v>
      </c>
      <c r="B57" t="s">
        <v>19</v>
      </c>
      <c r="C57" t="s">
        <v>20</v>
      </c>
      <c r="D57" t="s">
        <v>41</v>
      </c>
      <c r="E57" t="s">
        <v>22</v>
      </c>
      <c r="F57">
        <v>8</v>
      </c>
      <c r="G57">
        <v>280.04000000000002</v>
      </c>
      <c r="H57">
        <f t="shared" si="0"/>
        <v>2240.3200000000002</v>
      </c>
    </row>
    <row r="58" spans="1:8" x14ac:dyDescent="0.25">
      <c r="A58" s="1">
        <v>46079</v>
      </c>
      <c r="B58" t="s">
        <v>12</v>
      </c>
      <c r="C58" t="s">
        <v>29</v>
      </c>
      <c r="D58" t="s">
        <v>41</v>
      </c>
      <c r="E58" t="s">
        <v>30</v>
      </c>
      <c r="F58">
        <v>1</v>
      </c>
      <c r="G58">
        <v>1426.09</v>
      </c>
      <c r="H58">
        <f t="shared" si="0"/>
        <v>1426.09</v>
      </c>
    </row>
    <row r="59" spans="1:8" x14ac:dyDescent="0.25">
      <c r="A59" s="1">
        <v>46080</v>
      </c>
      <c r="B59" t="s">
        <v>12</v>
      </c>
      <c r="C59" t="s">
        <v>20</v>
      </c>
      <c r="D59" t="s">
        <v>41</v>
      </c>
      <c r="E59" t="s">
        <v>22</v>
      </c>
      <c r="F59">
        <v>5</v>
      </c>
      <c r="G59">
        <v>68.88</v>
      </c>
      <c r="H59">
        <f t="shared" si="0"/>
        <v>344.4</v>
      </c>
    </row>
    <row r="60" spans="1:8" hidden="1" x14ac:dyDescent="0.25">
      <c r="A60" s="1">
        <v>46081</v>
      </c>
      <c r="B60" t="s">
        <v>19</v>
      </c>
      <c r="C60" t="s">
        <v>13</v>
      </c>
      <c r="D60" t="s">
        <v>10</v>
      </c>
      <c r="E60" t="s">
        <v>15</v>
      </c>
      <c r="F60">
        <v>5</v>
      </c>
      <c r="G60">
        <v>441.13</v>
      </c>
      <c r="H60">
        <f t="shared" si="0"/>
        <v>2205.65</v>
      </c>
    </row>
    <row r="61" spans="1:8" x14ac:dyDescent="0.25">
      <c r="A61" s="1">
        <v>46082</v>
      </c>
      <c r="B61" t="s">
        <v>12</v>
      </c>
      <c r="C61" t="s">
        <v>20</v>
      </c>
      <c r="D61" t="s">
        <v>41</v>
      </c>
      <c r="E61" t="s">
        <v>53</v>
      </c>
      <c r="F61">
        <v>6</v>
      </c>
      <c r="G61">
        <v>1077.0899999999999</v>
      </c>
      <c r="H61">
        <f t="shared" si="0"/>
        <v>6462.5399999999991</v>
      </c>
    </row>
    <row r="62" spans="1:8" x14ac:dyDescent="0.25">
      <c r="A62" s="1">
        <v>46083</v>
      </c>
      <c r="B62" t="s">
        <v>12</v>
      </c>
      <c r="C62" t="s">
        <v>20</v>
      </c>
      <c r="D62" t="s">
        <v>10</v>
      </c>
      <c r="E62" t="s">
        <v>53</v>
      </c>
      <c r="F62">
        <v>4</v>
      </c>
      <c r="G62">
        <v>1066.71</v>
      </c>
      <c r="H62">
        <f t="shared" si="0"/>
        <v>4266.84</v>
      </c>
    </row>
    <row r="63" spans="1:8" hidden="1" x14ac:dyDescent="0.25">
      <c r="A63" s="1">
        <v>46084</v>
      </c>
      <c r="B63" t="s">
        <v>19</v>
      </c>
      <c r="C63" t="s">
        <v>29</v>
      </c>
      <c r="D63" t="s">
        <v>43</v>
      </c>
      <c r="E63" t="s">
        <v>54</v>
      </c>
      <c r="F63">
        <v>8</v>
      </c>
      <c r="G63">
        <v>817.81</v>
      </c>
      <c r="H63">
        <f t="shared" si="0"/>
        <v>6542.48</v>
      </c>
    </row>
    <row r="64" spans="1:8" hidden="1" x14ac:dyDescent="0.25">
      <c r="A64" s="1">
        <v>46085</v>
      </c>
      <c r="B64" t="s">
        <v>19</v>
      </c>
      <c r="C64" t="s">
        <v>9</v>
      </c>
      <c r="D64" t="s">
        <v>21</v>
      </c>
      <c r="E64" t="s">
        <v>33</v>
      </c>
      <c r="F64">
        <v>3</v>
      </c>
      <c r="G64">
        <v>1251.23</v>
      </c>
      <c r="H64">
        <f t="shared" si="0"/>
        <v>3753.69</v>
      </c>
    </row>
    <row r="65" spans="1:8" x14ac:dyDescent="0.25">
      <c r="A65" s="1">
        <v>46086</v>
      </c>
      <c r="B65" t="s">
        <v>12</v>
      </c>
      <c r="C65" t="s">
        <v>29</v>
      </c>
      <c r="D65" t="s">
        <v>43</v>
      </c>
      <c r="E65" t="s">
        <v>50</v>
      </c>
      <c r="F65">
        <v>4</v>
      </c>
      <c r="G65">
        <v>1106.17</v>
      </c>
      <c r="H65">
        <f t="shared" si="0"/>
        <v>4424.68</v>
      </c>
    </row>
    <row r="66" spans="1:8" hidden="1" x14ac:dyDescent="0.25">
      <c r="A66" s="1">
        <v>46087</v>
      </c>
      <c r="B66" t="s">
        <v>8</v>
      </c>
      <c r="C66" t="s">
        <v>34</v>
      </c>
      <c r="D66" t="s">
        <v>31</v>
      </c>
      <c r="E66" t="s">
        <v>38</v>
      </c>
      <c r="F66">
        <v>4</v>
      </c>
      <c r="G66">
        <v>312.31</v>
      </c>
      <c r="H66">
        <f t="shared" si="0"/>
        <v>1249.24</v>
      </c>
    </row>
    <row r="67" spans="1:8" hidden="1" x14ac:dyDescent="0.25">
      <c r="A67" s="1">
        <v>46088</v>
      </c>
      <c r="B67" t="s">
        <v>8</v>
      </c>
      <c r="C67" t="s">
        <v>34</v>
      </c>
      <c r="D67" t="s">
        <v>43</v>
      </c>
      <c r="E67" t="s">
        <v>38</v>
      </c>
      <c r="F67">
        <v>8</v>
      </c>
      <c r="G67">
        <v>553.84</v>
      </c>
      <c r="H67">
        <f t="shared" ref="H67:H130" si="1">F67*G67</f>
        <v>4430.72</v>
      </c>
    </row>
    <row r="68" spans="1:8" hidden="1" x14ac:dyDescent="0.25">
      <c r="A68" s="1">
        <v>46089</v>
      </c>
      <c r="B68" t="s">
        <v>8</v>
      </c>
      <c r="C68" t="s">
        <v>13</v>
      </c>
      <c r="D68" t="s">
        <v>14</v>
      </c>
      <c r="E68" t="s">
        <v>23</v>
      </c>
      <c r="F68">
        <v>4</v>
      </c>
      <c r="G68">
        <v>385.36</v>
      </c>
      <c r="H68">
        <f t="shared" si="1"/>
        <v>1541.44</v>
      </c>
    </row>
    <row r="69" spans="1:8" hidden="1" x14ac:dyDescent="0.25">
      <c r="A69" s="1">
        <v>46090</v>
      </c>
      <c r="B69" t="s">
        <v>16</v>
      </c>
      <c r="C69" t="s">
        <v>29</v>
      </c>
      <c r="D69" t="s">
        <v>24</v>
      </c>
      <c r="E69" t="s">
        <v>36</v>
      </c>
      <c r="F69">
        <v>10</v>
      </c>
      <c r="G69">
        <v>854.28</v>
      </c>
      <c r="H69">
        <f t="shared" si="1"/>
        <v>8542.7999999999993</v>
      </c>
    </row>
    <row r="70" spans="1:8" hidden="1" x14ac:dyDescent="0.25">
      <c r="A70" s="1">
        <v>46091</v>
      </c>
      <c r="B70" t="s">
        <v>8</v>
      </c>
      <c r="C70" t="s">
        <v>13</v>
      </c>
      <c r="D70" t="s">
        <v>21</v>
      </c>
      <c r="E70" t="s">
        <v>51</v>
      </c>
      <c r="F70">
        <v>9</v>
      </c>
      <c r="G70">
        <v>189.32</v>
      </c>
      <c r="H70">
        <f t="shared" si="1"/>
        <v>1703.8799999999999</v>
      </c>
    </row>
    <row r="71" spans="1:8" hidden="1" x14ac:dyDescent="0.25">
      <c r="A71" s="1">
        <v>46092</v>
      </c>
      <c r="B71" t="s">
        <v>19</v>
      </c>
      <c r="C71" t="s">
        <v>34</v>
      </c>
      <c r="D71" t="s">
        <v>14</v>
      </c>
      <c r="E71" t="s">
        <v>38</v>
      </c>
      <c r="F71">
        <v>2</v>
      </c>
      <c r="G71">
        <v>485.97</v>
      </c>
      <c r="H71">
        <f t="shared" si="1"/>
        <v>971.94</v>
      </c>
    </row>
    <row r="72" spans="1:8" hidden="1" x14ac:dyDescent="0.25">
      <c r="A72" s="1">
        <v>46093</v>
      </c>
      <c r="B72" t="s">
        <v>27</v>
      </c>
      <c r="C72" t="s">
        <v>34</v>
      </c>
      <c r="D72" t="s">
        <v>43</v>
      </c>
      <c r="E72" t="s">
        <v>35</v>
      </c>
      <c r="F72">
        <v>4</v>
      </c>
      <c r="G72">
        <v>948.87</v>
      </c>
      <c r="H72">
        <f t="shared" si="1"/>
        <v>3795.48</v>
      </c>
    </row>
    <row r="73" spans="1:8" hidden="1" x14ac:dyDescent="0.25">
      <c r="A73" s="1">
        <v>46094</v>
      </c>
      <c r="B73" t="s">
        <v>16</v>
      </c>
      <c r="C73" t="s">
        <v>9</v>
      </c>
      <c r="D73" t="s">
        <v>24</v>
      </c>
      <c r="E73" t="s">
        <v>33</v>
      </c>
      <c r="F73">
        <v>9</v>
      </c>
      <c r="G73">
        <v>1223.9100000000001</v>
      </c>
      <c r="H73">
        <f t="shared" si="1"/>
        <v>11015.19</v>
      </c>
    </row>
    <row r="74" spans="1:8" hidden="1" x14ac:dyDescent="0.25">
      <c r="A74" s="1">
        <v>46095</v>
      </c>
      <c r="B74" t="s">
        <v>27</v>
      </c>
      <c r="C74" t="s">
        <v>17</v>
      </c>
      <c r="D74" t="s">
        <v>43</v>
      </c>
      <c r="E74" t="s">
        <v>49</v>
      </c>
      <c r="F74">
        <v>4</v>
      </c>
      <c r="G74">
        <v>258.83999999999997</v>
      </c>
      <c r="H74">
        <f t="shared" si="1"/>
        <v>1035.3599999999999</v>
      </c>
    </row>
    <row r="75" spans="1:8" x14ac:dyDescent="0.25">
      <c r="A75" s="1">
        <v>46096</v>
      </c>
      <c r="B75" t="s">
        <v>12</v>
      </c>
      <c r="C75" t="s">
        <v>34</v>
      </c>
      <c r="D75" t="s">
        <v>31</v>
      </c>
      <c r="E75" t="s">
        <v>55</v>
      </c>
      <c r="F75">
        <v>8</v>
      </c>
      <c r="G75">
        <v>429.77</v>
      </c>
      <c r="H75">
        <f t="shared" si="1"/>
        <v>3438.16</v>
      </c>
    </row>
    <row r="76" spans="1:8" hidden="1" x14ac:dyDescent="0.25">
      <c r="A76" s="1">
        <v>46097</v>
      </c>
      <c r="B76" t="s">
        <v>27</v>
      </c>
      <c r="C76" t="s">
        <v>17</v>
      </c>
      <c r="D76" t="s">
        <v>41</v>
      </c>
      <c r="E76" t="s">
        <v>26</v>
      </c>
      <c r="F76">
        <v>2</v>
      </c>
      <c r="G76">
        <v>1210.24</v>
      </c>
      <c r="H76">
        <f t="shared" si="1"/>
        <v>2420.48</v>
      </c>
    </row>
    <row r="77" spans="1:8" hidden="1" x14ac:dyDescent="0.25">
      <c r="A77" s="1">
        <v>46098</v>
      </c>
      <c r="B77" t="s">
        <v>8</v>
      </c>
      <c r="C77" t="s">
        <v>17</v>
      </c>
      <c r="D77" t="s">
        <v>46</v>
      </c>
      <c r="E77" t="s">
        <v>26</v>
      </c>
      <c r="F77">
        <v>2</v>
      </c>
      <c r="G77">
        <v>239.95</v>
      </c>
      <c r="H77">
        <f t="shared" si="1"/>
        <v>479.9</v>
      </c>
    </row>
    <row r="78" spans="1:8" hidden="1" x14ac:dyDescent="0.25">
      <c r="A78" s="1">
        <v>46099</v>
      </c>
      <c r="B78" t="s">
        <v>8</v>
      </c>
      <c r="C78" t="s">
        <v>20</v>
      </c>
      <c r="D78" t="s">
        <v>10</v>
      </c>
      <c r="E78" t="s">
        <v>53</v>
      </c>
      <c r="F78">
        <v>2</v>
      </c>
      <c r="G78">
        <v>186.58</v>
      </c>
      <c r="H78">
        <f t="shared" si="1"/>
        <v>373.16</v>
      </c>
    </row>
    <row r="79" spans="1:8" hidden="1" x14ac:dyDescent="0.25">
      <c r="A79" s="1">
        <v>46100</v>
      </c>
      <c r="B79" t="s">
        <v>16</v>
      </c>
      <c r="C79" t="s">
        <v>29</v>
      </c>
      <c r="D79" t="s">
        <v>24</v>
      </c>
      <c r="E79" t="s">
        <v>30</v>
      </c>
      <c r="F79">
        <v>8</v>
      </c>
      <c r="G79">
        <v>298.54000000000002</v>
      </c>
      <c r="H79">
        <f t="shared" si="1"/>
        <v>2388.3200000000002</v>
      </c>
    </row>
    <row r="80" spans="1:8" x14ac:dyDescent="0.25">
      <c r="A80" s="1">
        <v>46101</v>
      </c>
      <c r="B80" t="s">
        <v>12</v>
      </c>
      <c r="C80" t="s">
        <v>20</v>
      </c>
      <c r="D80" t="s">
        <v>24</v>
      </c>
      <c r="E80" t="s">
        <v>52</v>
      </c>
      <c r="F80">
        <v>10</v>
      </c>
      <c r="G80">
        <v>784.21</v>
      </c>
      <c r="H80">
        <f t="shared" si="1"/>
        <v>7842.1</v>
      </c>
    </row>
    <row r="81" spans="1:8" hidden="1" x14ac:dyDescent="0.25">
      <c r="A81" s="1">
        <v>46102</v>
      </c>
      <c r="B81" t="s">
        <v>16</v>
      </c>
      <c r="C81" t="s">
        <v>17</v>
      </c>
      <c r="D81" t="s">
        <v>14</v>
      </c>
      <c r="E81" t="s">
        <v>26</v>
      </c>
      <c r="F81">
        <v>10</v>
      </c>
      <c r="G81">
        <v>1097.97</v>
      </c>
      <c r="H81">
        <f t="shared" si="1"/>
        <v>10979.7</v>
      </c>
    </row>
    <row r="82" spans="1:8" hidden="1" x14ac:dyDescent="0.25">
      <c r="A82" s="1">
        <v>46103</v>
      </c>
      <c r="B82" t="s">
        <v>19</v>
      </c>
      <c r="C82" t="s">
        <v>34</v>
      </c>
      <c r="D82" t="s">
        <v>14</v>
      </c>
      <c r="E82" t="s">
        <v>44</v>
      </c>
      <c r="F82">
        <v>1</v>
      </c>
      <c r="G82">
        <v>1293.24</v>
      </c>
      <c r="H82">
        <f t="shared" si="1"/>
        <v>1293.24</v>
      </c>
    </row>
    <row r="83" spans="1:8" hidden="1" x14ac:dyDescent="0.25">
      <c r="A83" s="1">
        <v>46104</v>
      </c>
      <c r="B83" t="s">
        <v>8</v>
      </c>
      <c r="C83" t="s">
        <v>20</v>
      </c>
      <c r="D83" t="s">
        <v>10</v>
      </c>
      <c r="E83" t="s">
        <v>28</v>
      </c>
      <c r="F83">
        <v>2</v>
      </c>
      <c r="G83">
        <v>1326.18</v>
      </c>
      <c r="H83">
        <f t="shared" si="1"/>
        <v>2652.36</v>
      </c>
    </row>
    <row r="84" spans="1:8" x14ac:dyDescent="0.25">
      <c r="A84" s="1">
        <v>46105</v>
      </c>
      <c r="B84" t="s">
        <v>12</v>
      </c>
      <c r="C84" t="s">
        <v>20</v>
      </c>
      <c r="D84" t="s">
        <v>43</v>
      </c>
      <c r="E84" t="s">
        <v>39</v>
      </c>
      <c r="F84">
        <v>7</v>
      </c>
      <c r="G84">
        <v>1470.51</v>
      </c>
      <c r="H84">
        <f t="shared" si="1"/>
        <v>10293.57</v>
      </c>
    </row>
    <row r="85" spans="1:8" hidden="1" x14ac:dyDescent="0.25">
      <c r="A85" s="1">
        <v>46106</v>
      </c>
      <c r="B85" t="s">
        <v>19</v>
      </c>
      <c r="C85" t="s">
        <v>17</v>
      </c>
      <c r="D85" t="s">
        <v>46</v>
      </c>
      <c r="E85" t="s">
        <v>25</v>
      </c>
      <c r="F85">
        <v>7</v>
      </c>
      <c r="G85">
        <v>847.93</v>
      </c>
      <c r="H85">
        <f t="shared" si="1"/>
        <v>5935.5099999999993</v>
      </c>
    </row>
    <row r="86" spans="1:8" hidden="1" x14ac:dyDescent="0.25">
      <c r="A86" s="1">
        <v>46107</v>
      </c>
      <c r="B86" t="s">
        <v>8</v>
      </c>
      <c r="C86" t="s">
        <v>9</v>
      </c>
      <c r="D86" t="s">
        <v>10</v>
      </c>
      <c r="E86" t="s">
        <v>32</v>
      </c>
      <c r="F86">
        <v>6</v>
      </c>
      <c r="G86">
        <v>1002.34</v>
      </c>
      <c r="H86">
        <f t="shared" si="1"/>
        <v>6014.04</v>
      </c>
    </row>
    <row r="87" spans="1:8" hidden="1" x14ac:dyDescent="0.25">
      <c r="A87" s="1">
        <v>46108</v>
      </c>
      <c r="B87" t="s">
        <v>19</v>
      </c>
      <c r="C87" t="s">
        <v>17</v>
      </c>
      <c r="D87" t="s">
        <v>24</v>
      </c>
      <c r="E87" t="s">
        <v>48</v>
      </c>
      <c r="F87">
        <v>9</v>
      </c>
      <c r="G87">
        <v>92.72</v>
      </c>
      <c r="H87">
        <f t="shared" si="1"/>
        <v>834.48</v>
      </c>
    </row>
    <row r="88" spans="1:8" x14ac:dyDescent="0.25">
      <c r="A88" s="1">
        <v>46109</v>
      </c>
      <c r="B88" t="s">
        <v>12</v>
      </c>
      <c r="C88" t="s">
        <v>13</v>
      </c>
      <c r="D88" t="s">
        <v>46</v>
      </c>
      <c r="E88" t="s">
        <v>23</v>
      </c>
      <c r="F88">
        <v>1</v>
      </c>
      <c r="G88">
        <v>1233.1400000000001</v>
      </c>
      <c r="H88">
        <f t="shared" si="1"/>
        <v>1233.1400000000001</v>
      </c>
    </row>
    <row r="89" spans="1:8" x14ac:dyDescent="0.25">
      <c r="A89" s="1">
        <v>46110</v>
      </c>
      <c r="B89" t="s">
        <v>12</v>
      </c>
      <c r="C89" t="s">
        <v>13</v>
      </c>
      <c r="D89" t="s">
        <v>31</v>
      </c>
      <c r="E89" t="s">
        <v>40</v>
      </c>
      <c r="F89">
        <v>6</v>
      </c>
      <c r="G89">
        <v>711.2</v>
      </c>
      <c r="H89">
        <f t="shared" si="1"/>
        <v>4267.2000000000007</v>
      </c>
    </row>
    <row r="90" spans="1:8" hidden="1" x14ac:dyDescent="0.25">
      <c r="A90" s="1">
        <v>46111</v>
      </c>
      <c r="B90" t="s">
        <v>27</v>
      </c>
      <c r="C90" t="s">
        <v>13</v>
      </c>
      <c r="D90" t="s">
        <v>10</v>
      </c>
      <c r="E90" t="s">
        <v>51</v>
      </c>
      <c r="F90">
        <v>3</v>
      </c>
      <c r="G90">
        <v>1497.11</v>
      </c>
      <c r="H90">
        <f t="shared" si="1"/>
        <v>4491.33</v>
      </c>
    </row>
    <row r="91" spans="1:8" hidden="1" x14ac:dyDescent="0.25">
      <c r="A91" s="1">
        <v>46112</v>
      </c>
      <c r="B91" t="s">
        <v>27</v>
      </c>
      <c r="C91" t="s">
        <v>29</v>
      </c>
      <c r="D91" t="s">
        <v>14</v>
      </c>
      <c r="E91" t="s">
        <v>30</v>
      </c>
      <c r="F91">
        <v>7</v>
      </c>
      <c r="G91">
        <v>733.48</v>
      </c>
      <c r="H91">
        <f t="shared" si="1"/>
        <v>5134.3600000000006</v>
      </c>
    </row>
    <row r="92" spans="1:8" hidden="1" x14ac:dyDescent="0.25">
      <c r="A92" s="1">
        <v>46113</v>
      </c>
      <c r="B92" t="s">
        <v>19</v>
      </c>
      <c r="C92" t="s">
        <v>13</v>
      </c>
      <c r="D92" t="s">
        <v>41</v>
      </c>
      <c r="E92" t="s">
        <v>15</v>
      </c>
      <c r="F92">
        <v>5</v>
      </c>
      <c r="G92">
        <v>526.96</v>
      </c>
      <c r="H92">
        <f t="shared" si="1"/>
        <v>2634.8</v>
      </c>
    </row>
    <row r="93" spans="1:8" hidden="1" x14ac:dyDescent="0.25">
      <c r="A93" s="1">
        <v>46114</v>
      </c>
      <c r="B93" t="s">
        <v>19</v>
      </c>
      <c r="C93" t="s">
        <v>34</v>
      </c>
      <c r="D93" t="s">
        <v>46</v>
      </c>
      <c r="E93" t="s">
        <v>38</v>
      </c>
      <c r="F93">
        <v>9</v>
      </c>
      <c r="G93">
        <v>1131.6500000000001</v>
      </c>
      <c r="H93">
        <f t="shared" si="1"/>
        <v>10184.85</v>
      </c>
    </row>
    <row r="94" spans="1:8" hidden="1" x14ac:dyDescent="0.25">
      <c r="A94" s="1">
        <v>46115</v>
      </c>
      <c r="B94" t="s">
        <v>16</v>
      </c>
      <c r="C94" t="s">
        <v>20</v>
      </c>
      <c r="D94" t="s">
        <v>46</v>
      </c>
      <c r="E94" t="s">
        <v>22</v>
      </c>
      <c r="F94">
        <v>6</v>
      </c>
      <c r="G94">
        <v>328.21</v>
      </c>
      <c r="H94">
        <f t="shared" si="1"/>
        <v>1969.2599999999998</v>
      </c>
    </row>
    <row r="95" spans="1:8" hidden="1" x14ac:dyDescent="0.25">
      <c r="A95" s="1">
        <v>46116</v>
      </c>
      <c r="B95" t="s">
        <v>27</v>
      </c>
      <c r="C95" t="s">
        <v>17</v>
      </c>
      <c r="D95" t="s">
        <v>46</v>
      </c>
      <c r="E95" t="s">
        <v>49</v>
      </c>
      <c r="F95">
        <v>2</v>
      </c>
      <c r="G95">
        <v>373.38</v>
      </c>
      <c r="H95">
        <f t="shared" si="1"/>
        <v>746.76</v>
      </c>
    </row>
    <row r="96" spans="1:8" hidden="1" x14ac:dyDescent="0.25">
      <c r="A96" s="1">
        <v>46117</v>
      </c>
      <c r="B96" t="s">
        <v>27</v>
      </c>
      <c r="C96" t="s">
        <v>9</v>
      </c>
      <c r="D96" t="s">
        <v>14</v>
      </c>
      <c r="E96" t="s">
        <v>33</v>
      </c>
      <c r="F96">
        <v>1</v>
      </c>
      <c r="G96">
        <v>380.68</v>
      </c>
      <c r="H96">
        <f t="shared" si="1"/>
        <v>380.68</v>
      </c>
    </row>
    <row r="97" spans="1:8" hidden="1" x14ac:dyDescent="0.25">
      <c r="A97" s="1">
        <v>46118</v>
      </c>
      <c r="B97" t="s">
        <v>16</v>
      </c>
      <c r="C97" t="s">
        <v>13</v>
      </c>
      <c r="D97" t="s">
        <v>21</v>
      </c>
      <c r="E97" t="s">
        <v>37</v>
      </c>
      <c r="F97">
        <v>2</v>
      </c>
      <c r="G97">
        <v>1461.64</v>
      </c>
      <c r="H97">
        <f t="shared" si="1"/>
        <v>2923.28</v>
      </c>
    </row>
    <row r="98" spans="1:8" hidden="1" x14ac:dyDescent="0.25">
      <c r="A98" s="1">
        <v>46119</v>
      </c>
      <c r="B98" t="s">
        <v>27</v>
      </c>
      <c r="C98" t="s">
        <v>29</v>
      </c>
      <c r="D98" t="s">
        <v>41</v>
      </c>
      <c r="E98" t="s">
        <v>54</v>
      </c>
      <c r="F98">
        <v>1</v>
      </c>
      <c r="G98">
        <v>1304.1099999999999</v>
      </c>
      <c r="H98">
        <f t="shared" si="1"/>
        <v>1304.1099999999999</v>
      </c>
    </row>
    <row r="99" spans="1:8" hidden="1" x14ac:dyDescent="0.25">
      <c r="A99" s="1">
        <v>46120</v>
      </c>
      <c r="B99" t="s">
        <v>27</v>
      </c>
      <c r="C99" t="s">
        <v>20</v>
      </c>
      <c r="D99" t="s">
        <v>46</v>
      </c>
      <c r="E99" t="s">
        <v>22</v>
      </c>
      <c r="F99">
        <v>4</v>
      </c>
      <c r="G99">
        <v>242.72</v>
      </c>
      <c r="H99">
        <f t="shared" si="1"/>
        <v>970.88</v>
      </c>
    </row>
    <row r="100" spans="1:8" hidden="1" x14ac:dyDescent="0.25">
      <c r="A100" s="1">
        <v>46121</v>
      </c>
      <c r="B100" t="s">
        <v>27</v>
      </c>
      <c r="C100" t="s">
        <v>9</v>
      </c>
      <c r="D100" t="s">
        <v>43</v>
      </c>
      <c r="E100" t="s">
        <v>11</v>
      </c>
      <c r="F100">
        <v>8</v>
      </c>
      <c r="G100">
        <v>1099.96</v>
      </c>
      <c r="H100">
        <f t="shared" si="1"/>
        <v>8799.68</v>
      </c>
    </row>
    <row r="101" spans="1:8" hidden="1" x14ac:dyDescent="0.25">
      <c r="A101" s="1">
        <v>46122</v>
      </c>
      <c r="B101" t="s">
        <v>8</v>
      </c>
      <c r="C101" t="s">
        <v>9</v>
      </c>
      <c r="D101" t="s">
        <v>21</v>
      </c>
      <c r="E101" t="s">
        <v>32</v>
      </c>
      <c r="F101">
        <v>4</v>
      </c>
      <c r="G101">
        <v>1253.25</v>
      </c>
      <c r="H101">
        <f t="shared" si="1"/>
        <v>5013</v>
      </c>
    </row>
    <row r="102" spans="1:8" hidden="1" x14ac:dyDescent="0.25">
      <c r="A102" s="1">
        <v>46123</v>
      </c>
      <c r="B102" t="s">
        <v>16</v>
      </c>
      <c r="C102" t="s">
        <v>29</v>
      </c>
      <c r="D102" t="s">
        <v>21</v>
      </c>
      <c r="E102" t="s">
        <v>30</v>
      </c>
      <c r="F102">
        <v>3</v>
      </c>
      <c r="G102">
        <v>1019.2</v>
      </c>
      <c r="H102">
        <f t="shared" si="1"/>
        <v>3057.6000000000004</v>
      </c>
    </row>
    <row r="103" spans="1:8" hidden="1" x14ac:dyDescent="0.25">
      <c r="A103" s="1">
        <v>46124</v>
      </c>
      <c r="B103" t="s">
        <v>16</v>
      </c>
      <c r="C103" t="s">
        <v>29</v>
      </c>
      <c r="D103" t="s">
        <v>10</v>
      </c>
      <c r="E103" t="s">
        <v>50</v>
      </c>
      <c r="F103">
        <v>5</v>
      </c>
      <c r="G103">
        <v>626.76</v>
      </c>
      <c r="H103">
        <f t="shared" si="1"/>
        <v>3133.8</v>
      </c>
    </row>
    <row r="104" spans="1:8" hidden="1" x14ac:dyDescent="0.25">
      <c r="A104" s="1">
        <v>46125</v>
      </c>
      <c r="B104" t="s">
        <v>19</v>
      </c>
      <c r="C104" t="s">
        <v>17</v>
      </c>
      <c r="D104" t="s">
        <v>10</v>
      </c>
      <c r="E104" t="s">
        <v>26</v>
      </c>
      <c r="F104">
        <v>1</v>
      </c>
      <c r="G104">
        <v>121.12</v>
      </c>
      <c r="H104">
        <f t="shared" si="1"/>
        <v>121.12</v>
      </c>
    </row>
    <row r="105" spans="1:8" hidden="1" x14ac:dyDescent="0.25">
      <c r="A105" s="1">
        <v>46126</v>
      </c>
      <c r="B105" t="s">
        <v>8</v>
      </c>
      <c r="C105" t="s">
        <v>34</v>
      </c>
      <c r="D105" t="s">
        <v>43</v>
      </c>
      <c r="E105" t="s">
        <v>47</v>
      </c>
      <c r="F105">
        <v>4</v>
      </c>
      <c r="G105">
        <v>1385.47</v>
      </c>
      <c r="H105">
        <f t="shared" si="1"/>
        <v>5541.88</v>
      </c>
    </row>
    <row r="106" spans="1:8" hidden="1" x14ac:dyDescent="0.25">
      <c r="A106" s="1">
        <v>46127</v>
      </c>
      <c r="B106" t="s">
        <v>19</v>
      </c>
      <c r="C106" t="s">
        <v>20</v>
      </c>
      <c r="D106" t="s">
        <v>43</v>
      </c>
      <c r="E106" t="s">
        <v>52</v>
      </c>
      <c r="F106">
        <v>10</v>
      </c>
      <c r="G106">
        <v>437.48</v>
      </c>
      <c r="H106">
        <f t="shared" si="1"/>
        <v>4374.8</v>
      </c>
    </row>
    <row r="107" spans="1:8" hidden="1" x14ac:dyDescent="0.25">
      <c r="A107" s="1">
        <v>46128</v>
      </c>
      <c r="B107" t="s">
        <v>8</v>
      </c>
      <c r="C107" t="s">
        <v>20</v>
      </c>
      <c r="D107" t="s">
        <v>24</v>
      </c>
      <c r="E107" t="s">
        <v>28</v>
      </c>
      <c r="F107">
        <v>7</v>
      </c>
      <c r="G107">
        <v>55.81</v>
      </c>
      <c r="H107">
        <f t="shared" si="1"/>
        <v>390.67</v>
      </c>
    </row>
    <row r="108" spans="1:8" x14ac:dyDescent="0.25">
      <c r="A108" s="1">
        <v>46129</v>
      </c>
      <c r="B108" t="s">
        <v>12</v>
      </c>
      <c r="C108" t="s">
        <v>20</v>
      </c>
      <c r="D108" t="s">
        <v>14</v>
      </c>
      <c r="E108" t="s">
        <v>28</v>
      </c>
      <c r="F108">
        <v>8</v>
      </c>
      <c r="G108">
        <v>518.47</v>
      </c>
      <c r="H108">
        <f t="shared" si="1"/>
        <v>4147.76</v>
      </c>
    </row>
    <row r="109" spans="1:8" hidden="1" x14ac:dyDescent="0.25">
      <c r="A109" s="1">
        <v>46130</v>
      </c>
      <c r="B109" t="s">
        <v>16</v>
      </c>
      <c r="C109" t="s">
        <v>17</v>
      </c>
      <c r="D109" t="s">
        <v>46</v>
      </c>
      <c r="E109" t="s">
        <v>49</v>
      </c>
      <c r="F109">
        <v>5</v>
      </c>
      <c r="G109">
        <v>620.61</v>
      </c>
      <c r="H109">
        <f t="shared" si="1"/>
        <v>3103.05</v>
      </c>
    </row>
    <row r="110" spans="1:8" hidden="1" x14ac:dyDescent="0.25">
      <c r="A110" s="1">
        <v>46131</v>
      </c>
      <c r="B110" t="s">
        <v>16</v>
      </c>
      <c r="C110" t="s">
        <v>34</v>
      </c>
      <c r="D110" t="s">
        <v>21</v>
      </c>
      <c r="E110" t="s">
        <v>38</v>
      </c>
      <c r="F110">
        <v>10</v>
      </c>
      <c r="G110">
        <v>188.31</v>
      </c>
      <c r="H110">
        <f t="shared" si="1"/>
        <v>1883.1</v>
      </c>
    </row>
    <row r="111" spans="1:8" x14ac:dyDescent="0.25">
      <c r="A111" s="1">
        <v>46132</v>
      </c>
      <c r="B111" t="s">
        <v>12</v>
      </c>
      <c r="C111" t="s">
        <v>29</v>
      </c>
      <c r="D111" t="s">
        <v>21</v>
      </c>
      <c r="E111" t="s">
        <v>36</v>
      </c>
      <c r="F111">
        <v>4</v>
      </c>
      <c r="G111">
        <v>1246.4000000000001</v>
      </c>
      <c r="H111">
        <f t="shared" si="1"/>
        <v>4985.6000000000004</v>
      </c>
    </row>
    <row r="112" spans="1:8" hidden="1" x14ac:dyDescent="0.25">
      <c r="A112" s="1">
        <v>46133</v>
      </c>
      <c r="B112" t="s">
        <v>8</v>
      </c>
      <c r="C112" t="s">
        <v>29</v>
      </c>
      <c r="D112" t="s">
        <v>41</v>
      </c>
      <c r="E112" t="s">
        <v>50</v>
      </c>
      <c r="F112">
        <v>8</v>
      </c>
      <c r="G112">
        <v>447.35</v>
      </c>
      <c r="H112">
        <f t="shared" si="1"/>
        <v>3578.8</v>
      </c>
    </row>
    <row r="113" spans="1:8" hidden="1" x14ac:dyDescent="0.25">
      <c r="A113" s="1">
        <v>46134</v>
      </c>
      <c r="B113" t="s">
        <v>8</v>
      </c>
      <c r="C113" t="s">
        <v>17</v>
      </c>
      <c r="D113" t="s">
        <v>14</v>
      </c>
      <c r="E113" t="s">
        <v>25</v>
      </c>
      <c r="F113">
        <v>8</v>
      </c>
      <c r="G113">
        <v>521.35</v>
      </c>
      <c r="H113">
        <f t="shared" si="1"/>
        <v>4170.8</v>
      </c>
    </row>
    <row r="114" spans="1:8" x14ac:dyDescent="0.25">
      <c r="A114" s="1">
        <v>46135</v>
      </c>
      <c r="B114" t="s">
        <v>12</v>
      </c>
      <c r="C114" t="s">
        <v>9</v>
      </c>
      <c r="D114" t="s">
        <v>46</v>
      </c>
      <c r="E114" t="s">
        <v>11</v>
      </c>
      <c r="F114">
        <v>3</v>
      </c>
      <c r="G114">
        <v>522.1</v>
      </c>
      <c r="H114">
        <f t="shared" si="1"/>
        <v>1566.3000000000002</v>
      </c>
    </row>
    <row r="115" spans="1:8" hidden="1" x14ac:dyDescent="0.25">
      <c r="A115" s="1">
        <v>46136</v>
      </c>
      <c r="B115" t="s">
        <v>16</v>
      </c>
      <c r="C115" t="s">
        <v>29</v>
      </c>
      <c r="D115" t="s">
        <v>43</v>
      </c>
      <c r="E115" t="s">
        <v>50</v>
      </c>
      <c r="F115">
        <v>2</v>
      </c>
      <c r="G115">
        <v>893.07</v>
      </c>
      <c r="H115">
        <f t="shared" si="1"/>
        <v>1786.14</v>
      </c>
    </row>
    <row r="116" spans="1:8" hidden="1" x14ac:dyDescent="0.25">
      <c r="A116" s="1">
        <v>46137</v>
      </c>
      <c r="B116" t="s">
        <v>8</v>
      </c>
      <c r="C116" t="s">
        <v>9</v>
      </c>
      <c r="D116" t="s">
        <v>14</v>
      </c>
      <c r="E116" t="s">
        <v>32</v>
      </c>
      <c r="F116">
        <v>3</v>
      </c>
      <c r="G116">
        <v>950.52</v>
      </c>
      <c r="H116">
        <f t="shared" si="1"/>
        <v>2851.56</v>
      </c>
    </row>
    <row r="117" spans="1:8" hidden="1" x14ac:dyDescent="0.25">
      <c r="A117" s="1">
        <v>46138</v>
      </c>
      <c r="B117" t="s">
        <v>8</v>
      </c>
      <c r="C117" t="s">
        <v>17</v>
      </c>
      <c r="D117" t="s">
        <v>43</v>
      </c>
      <c r="E117" t="s">
        <v>25</v>
      </c>
      <c r="F117">
        <v>3</v>
      </c>
      <c r="G117">
        <v>1128.8699999999999</v>
      </c>
      <c r="H117">
        <f t="shared" si="1"/>
        <v>3386.6099999999997</v>
      </c>
    </row>
    <row r="118" spans="1:8" hidden="1" x14ac:dyDescent="0.25">
      <c r="A118" s="1">
        <v>46139</v>
      </c>
      <c r="B118" t="s">
        <v>8</v>
      </c>
      <c r="C118" t="s">
        <v>29</v>
      </c>
      <c r="D118" t="s">
        <v>14</v>
      </c>
      <c r="E118" t="s">
        <v>36</v>
      </c>
      <c r="F118">
        <v>1</v>
      </c>
      <c r="G118">
        <v>1370.4</v>
      </c>
      <c r="H118">
        <f t="shared" si="1"/>
        <v>1370.4</v>
      </c>
    </row>
    <row r="119" spans="1:8" hidden="1" x14ac:dyDescent="0.25">
      <c r="A119" s="1">
        <v>46140</v>
      </c>
      <c r="B119" t="s">
        <v>8</v>
      </c>
      <c r="C119" t="s">
        <v>34</v>
      </c>
      <c r="D119" t="s">
        <v>10</v>
      </c>
      <c r="E119" t="s">
        <v>38</v>
      </c>
      <c r="F119">
        <v>5</v>
      </c>
      <c r="G119">
        <v>1299.03</v>
      </c>
      <c r="H119">
        <f t="shared" si="1"/>
        <v>6495.15</v>
      </c>
    </row>
    <row r="120" spans="1:8" hidden="1" x14ac:dyDescent="0.25">
      <c r="A120" s="1">
        <v>46141</v>
      </c>
      <c r="B120" t="s">
        <v>19</v>
      </c>
      <c r="C120" t="s">
        <v>9</v>
      </c>
      <c r="D120" t="s">
        <v>43</v>
      </c>
      <c r="E120" t="s">
        <v>33</v>
      </c>
      <c r="F120">
        <v>1</v>
      </c>
      <c r="G120">
        <v>221.11</v>
      </c>
      <c r="H120">
        <f t="shared" si="1"/>
        <v>221.11</v>
      </c>
    </row>
    <row r="121" spans="1:8" hidden="1" x14ac:dyDescent="0.25">
      <c r="A121" s="1">
        <v>46142</v>
      </c>
      <c r="B121" t="s">
        <v>27</v>
      </c>
      <c r="C121" t="s">
        <v>9</v>
      </c>
      <c r="D121" t="s">
        <v>24</v>
      </c>
      <c r="E121" t="s">
        <v>11</v>
      </c>
      <c r="F121">
        <v>10</v>
      </c>
      <c r="G121">
        <v>1124</v>
      </c>
      <c r="H121">
        <f t="shared" si="1"/>
        <v>11240</v>
      </c>
    </row>
    <row r="122" spans="1:8" x14ac:dyDescent="0.25">
      <c r="A122" s="1">
        <v>46143</v>
      </c>
      <c r="B122" t="s">
        <v>12</v>
      </c>
      <c r="C122" t="s">
        <v>34</v>
      </c>
      <c r="D122" t="s">
        <v>24</v>
      </c>
      <c r="E122" t="s">
        <v>47</v>
      </c>
      <c r="F122">
        <v>1</v>
      </c>
      <c r="G122">
        <v>852.51</v>
      </c>
      <c r="H122">
        <f t="shared" si="1"/>
        <v>852.51</v>
      </c>
    </row>
    <row r="123" spans="1:8" hidden="1" x14ac:dyDescent="0.25">
      <c r="A123" s="1">
        <v>46144</v>
      </c>
      <c r="B123" t="s">
        <v>8</v>
      </c>
      <c r="C123" t="s">
        <v>29</v>
      </c>
      <c r="D123" t="s">
        <v>21</v>
      </c>
      <c r="E123" t="s">
        <v>50</v>
      </c>
      <c r="F123">
        <v>10</v>
      </c>
      <c r="G123">
        <v>1053.3</v>
      </c>
      <c r="H123">
        <f t="shared" si="1"/>
        <v>10533</v>
      </c>
    </row>
    <row r="124" spans="1:8" hidden="1" x14ac:dyDescent="0.25">
      <c r="A124" s="1">
        <v>46145</v>
      </c>
      <c r="B124" t="s">
        <v>19</v>
      </c>
      <c r="C124" t="s">
        <v>17</v>
      </c>
      <c r="D124" t="s">
        <v>46</v>
      </c>
      <c r="E124" t="s">
        <v>25</v>
      </c>
      <c r="F124">
        <v>5</v>
      </c>
      <c r="G124">
        <v>1146.79</v>
      </c>
      <c r="H124">
        <f t="shared" si="1"/>
        <v>5733.95</v>
      </c>
    </row>
    <row r="125" spans="1:8" x14ac:dyDescent="0.25">
      <c r="A125" s="1">
        <v>46146</v>
      </c>
      <c r="B125" t="s">
        <v>12</v>
      </c>
      <c r="C125" t="s">
        <v>29</v>
      </c>
      <c r="D125" t="s">
        <v>24</v>
      </c>
      <c r="E125" t="s">
        <v>50</v>
      </c>
      <c r="F125">
        <v>9</v>
      </c>
      <c r="G125">
        <v>699.9</v>
      </c>
      <c r="H125">
        <f t="shared" si="1"/>
        <v>6299.0999999999995</v>
      </c>
    </row>
    <row r="126" spans="1:8" hidden="1" x14ac:dyDescent="0.25">
      <c r="A126" s="1">
        <v>46147</v>
      </c>
      <c r="B126" t="s">
        <v>8</v>
      </c>
      <c r="C126" t="s">
        <v>17</v>
      </c>
      <c r="D126" t="s">
        <v>46</v>
      </c>
      <c r="E126" t="s">
        <v>48</v>
      </c>
      <c r="F126">
        <v>2</v>
      </c>
      <c r="G126">
        <v>244.6</v>
      </c>
      <c r="H126">
        <f t="shared" si="1"/>
        <v>489.2</v>
      </c>
    </row>
    <row r="127" spans="1:8" hidden="1" x14ac:dyDescent="0.25">
      <c r="A127" s="1">
        <v>46148</v>
      </c>
      <c r="B127" t="s">
        <v>16</v>
      </c>
      <c r="C127" t="s">
        <v>17</v>
      </c>
      <c r="D127" t="s">
        <v>43</v>
      </c>
      <c r="E127" t="s">
        <v>48</v>
      </c>
      <c r="F127">
        <v>5</v>
      </c>
      <c r="G127">
        <v>413.19</v>
      </c>
      <c r="H127">
        <f t="shared" si="1"/>
        <v>2065.9499999999998</v>
      </c>
    </row>
    <row r="128" spans="1:8" hidden="1" x14ac:dyDescent="0.25">
      <c r="A128" s="1">
        <v>46149</v>
      </c>
      <c r="B128" t="s">
        <v>19</v>
      </c>
      <c r="C128" t="s">
        <v>34</v>
      </c>
      <c r="D128" t="s">
        <v>43</v>
      </c>
      <c r="E128" t="s">
        <v>55</v>
      </c>
      <c r="F128">
        <v>3</v>
      </c>
      <c r="G128">
        <v>242.75</v>
      </c>
      <c r="H128">
        <f t="shared" si="1"/>
        <v>728.25</v>
      </c>
    </row>
    <row r="129" spans="1:8" hidden="1" x14ac:dyDescent="0.25">
      <c r="A129" s="1">
        <v>46150</v>
      </c>
      <c r="B129" t="s">
        <v>27</v>
      </c>
      <c r="C129" t="s">
        <v>20</v>
      </c>
      <c r="D129" t="s">
        <v>24</v>
      </c>
      <c r="E129" t="s">
        <v>53</v>
      </c>
      <c r="F129">
        <v>6</v>
      </c>
      <c r="G129">
        <v>415.84</v>
      </c>
      <c r="H129">
        <f t="shared" si="1"/>
        <v>2495.04</v>
      </c>
    </row>
    <row r="130" spans="1:8" hidden="1" x14ac:dyDescent="0.25">
      <c r="A130" s="1">
        <v>46151</v>
      </c>
      <c r="B130" t="s">
        <v>27</v>
      </c>
      <c r="C130" t="s">
        <v>13</v>
      </c>
      <c r="D130" t="s">
        <v>21</v>
      </c>
      <c r="E130" t="s">
        <v>37</v>
      </c>
      <c r="F130">
        <v>6</v>
      </c>
      <c r="G130">
        <v>272.99</v>
      </c>
      <c r="H130">
        <f t="shared" si="1"/>
        <v>1637.94</v>
      </c>
    </row>
    <row r="131" spans="1:8" hidden="1" x14ac:dyDescent="0.25">
      <c r="A131" s="1">
        <v>46152</v>
      </c>
      <c r="B131" t="s">
        <v>8</v>
      </c>
      <c r="C131" t="s">
        <v>20</v>
      </c>
      <c r="D131" t="s">
        <v>21</v>
      </c>
      <c r="E131" t="s">
        <v>28</v>
      </c>
      <c r="F131">
        <v>1</v>
      </c>
      <c r="G131">
        <v>333</v>
      </c>
      <c r="H131">
        <f t="shared" ref="H131:H194" si="2">F131*G131</f>
        <v>333</v>
      </c>
    </row>
    <row r="132" spans="1:8" hidden="1" x14ac:dyDescent="0.25">
      <c r="A132" s="1">
        <v>46153</v>
      </c>
      <c r="B132" t="s">
        <v>8</v>
      </c>
      <c r="C132" t="s">
        <v>9</v>
      </c>
      <c r="D132" t="s">
        <v>21</v>
      </c>
      <c r="E132" t="s">
        <v>56</v>
      </c>
      <c r="F132">
        <v>1</v>
      </c>
      <c r="G132">
        <v>550.97</v>
      </c>
      <c r="H132">
        <f t="shared" si="2"/>
        <v>550.97</v>
      </c>
    </row>
    <row r="133" spans="1:8" hidden="1" x14ac:dyDescent="0.25">
      <c r="A133" s="1">
        <v>46154</v>
      </c>
      <c r="B133" t="s">
        <v>27</v>
      </c>
      <c r="C133" t="s">
        <v>13</v>
      </c>
      <c r="D133" t="s">
        <v>46</v>
      </c>
      <c r="E133" t="s">
        <v>15</v>
      </c>
      <c r="F133">
        <v>8</v>
      </c>
      <c r="G133">
        <v>1102.3499999999999</v>
      </c>
      <c r="H133">
        <f t="shared" si="2"/>
        <v>8818.7999999999993</v>
      </c>
    </row>
    <row r="134" spans="1:8" hidden="1" x14ac:dyDescent="0.25">
      <c r="A134" s="1">
        <v>46155</v>
      </c>
      <c r="B134" t="s">
        <v>27</v>
      </c>
      <c r="C134" t="s">
        <v>9</v>
      </c>
      <c r="D134" t="s">
        <v>43</v>
      </c>
      <c r="E134" t="s">
        <v>11</v>
      </c>
      <c r="F134">
        <v>6</v>
      </c>
      <c r="G134">
        <v>893.93</v>
      </c>
      <c r="H134">
        <f t="shared" si="2"/>
        <v>5363.58</v>
      </c>
    </row>
    <row r="135" spans="1:8" x14ac:dyDescent="0.25">
      <c r="A135" s="1">
        <v>46156</v>
      </c>
      <c r="B135" t="s">
        <v>12</v>
      </c>
      <c r="C135" t="s">
        <v>29</v>
      </c>
      <c r="D135" t="s">
        <v>14</v>
      </c>
      <c r="E135" t="s">
        <v>54</v>
      </c>
      <c r="F135">
        <v>3</v>
      </c>
      <c r="G135">
        <v>1419.71</v>
      </c>
      <c r="H135">
        <f t="shared" si="2"/>
        <v>4259.13</v>
      </c>
    </row>
    <row r="136" spans="1:8" hidden="1" x14ac:dyDescent="0.25">
      <c r="A136" s="1">
        <v>46157</v>
      </c>
      <c r="B136" t="s">
        <v>27</v>
      </c>
      <c r="C136" t="s">
        <v>34</v>
      </c>
      <c r="D136" t="s">
        <v>46</v>
      </c>
      <c r="E136" t="s">
        <v>35</v>
      </c>
      <c r="F136">
        <v>7</v>
      </c>
      <c r="G136">
        <v>799.18</v>
      </c>
      <c r="H136">
        <f t="shared" si="2"/>
        <v>5594.2599999999993</v>
      </c>
    </row>
    <row r="137" spans="1:8" hidden="1" x14ac:dyDescent="0.25">
      <c r="A137" s="1">
        <v>46158</v>
      </c>
      <c r="B137" t="s">
        <v>8</v>
      </c>
      <c r="C137" t="s">
        <v>9</v>
      </c>
      <c r="D137" t="s">
        <v>46</v>
      </c>
      <c r="E137" t="s">
        <v>56</v>
      </c>
      <c r="F137">
        <v>5</v>
      </c>
      <c r="G137">
        <v>1037.23</v>
      </c>
      <c r="H137">
        <f t="shared" si="2"/>
        <v>5186.1499999999996</v>
      </c>
    </row>
    <row r="138" spans="1:8" hidden="1" x14ac:dyDescent="0.25">
      <c r="A138" s="1">
        <v>46159</v>
      </c>
      <c r="B138" t="s">
        <v>19</v>
      </c>
      <c r="C138" t="s">
        <v>29</v>
      </c>
      <c r="D138" t="s">
        <v>43</v>
      </c>
      <c r="E138" t="s">
        <v>50</v>
      </c>
      <c r="F138">
        <v>5</v>
      </c>
      <c r="G138">
        <v>410.73</v>
      </c>
      <c r="H138">
        <f t="shared" si="2"/>
        <v>2053.65</v>
      </c>
    </row>
    <row r="139" spans="1:8" x14ac:dyDescent="0.25">
      <c r="A139" s="1">
        <v>46160</v>
      </c>
      <c r="B139" t="s">
        <v>12</v>
      </c>
      <c r="C139" t="s">
        <v>20</v>
      </c>
      <c r="D139" t="s">
        <v>43</v>
      </c>
      <c r="E139" t="s">
        <v>39</v>
      </c>
      <c r="F139">
        <v>5</v>
      </c>
      <c r="G139">
        <v>1103.42</v>
      </c>
      <c r="H139">
        <f t="shared" si="2"/>
        <v>5517.1</v>
      </c>
    </row>
    <row r="140" spans="1:8" hidden="1" x14ac:dyDescent="0.25">
      <c r="A140" s="1">
        <v>46161</v>
      </c>
      <c r="B140" t="s">
        <v>8</v>
      </c>
      <c r="C140" t="s">
        <v>29</v>
      </c>
      <c r="D140" t="s">
        <v>46</v>
      </c>
      <c r="E140" t="s">
        <v>36</v>
      </c>
      <c r="F140">
        <v>10</v>
      </c>
      <c r="G140">
        <v>901.73</v>
      </c>
      <c r="H140">
        <f t="shared" si="2"/>
        <v>9017.2999999999993</v>
      </c>
    </row>
    <row r="141" spans="1:8" x14ac:dyDescent="0.25">
      <c r="A141" s="1">
        <v>46162</v>
      </c>
      <c r="B141" t="s">
        <v>12</v>
      </c>
      <c r="C141" t="s">
        <v>13</v>
      </c>
      <c r="D141" t="s">
        <v>10</v>
      </c>
      <c r="E141" t="s">
        <v>23</v>
      </c>
      <c r="F141">
        <v>5</v>
      </c>
      <c r="G141">
        <v>1341.51</v>
      </c>
      <c r="H141">
        <f t="shared" si="2"/>
        <v>6707.55</v>
      </c>
    </row>
    <row r="142" spans="1:8" hidden="1" x14ac:dyDescent="0.25">
      <c r="A142" s="1">
        <v>46163</v>
      </c>
      <c r="B142" t="s">
        <v>8</v>
      </c>
      <c r="C142" t="s">
        <v>20</v>
      </c>
      <c r="D142" t="s">
        <v>46</v>
      </c>
      <c r="E142" t="s">
        <v>52</v>
      </c>
      <c r="F142">
        <v>4</v>
      </c>
      <c r="G142">
        <v>144.79</v>
      </c>
      <c r="H142">
        <f t="shared" si="2"/>
        <v>579.16</v>
      </c>
    </row>
    <row r="143" spans="1:8" x14ac:dyDescent="0.25">
      <c r="A143" s="1">
        <v>46164</v>
      </c>
      <c r="B143" t="s">
        <v>12</v>
      </c>
      <c r="C143" t="s">
        <v>29</v>
      </c>
      <c r="D143" t="s">
        <v>10</v>
      </c>
      <c r="E143" t="s">
        <v>50</v>
      </c>
      <c r="F143">
        <v>3</v>
      </c>
      <c r="G143">
        <v>638.66</v>
      </c>
      <c r="H143">
        <f t="shared" si="2"/>
        <v>1915.98</v>
      </c>
    </row>
    <row r="144" spans="1:8" x14ac:dyDescent="0.25">
      <c r="A144" s="1">
        <v>46165</v>
      </c>
      <c r="B144" t="s">
        <v>12</v>
      </c>
      <c r="C144" t="s">
        <v>29</v>
      </c>
      <c r="D144" t="s">
        <v>14</v>
      </c>
      <c r="E144" t="s">
        <v>54</v>
      </c>
      <c r="F144">
        <v>10</v>
      </c>
      <c r="G144">
        <v>647.66999999999996</v>
      </c>
      <c r="H144">
        <f t="shared" si="2"/>
        <v>6476.7</v>
      </c>
    </row>
    <row r="145" spans="1:8" hidden="1" x14ac:dyDescent="0.25">
      <c r="A145" s="1">
        <v>46166</v>
      </c>
      <c r="B145" t="s">
        <v>16</v>
      </c>
      <c r="C145" t="s">
        <v>34</v>
      </c>
      <c r="D145" t="s">
        <v>21</v>
      </c>
      <c r="E145" t="s">
        <v>55</v>
      </c>
      <c r="F145">
        <v>5</v>
      </c>
      <c r="G145">
        <v>938.49</v>
      </c>
      <c r="H145">
        <f t="shared" si="2"/>
        <v>4692.45</v>
      </c>
    </row>
    <row r="146" spans="1:8" hidden="1" x14ac:dyDescent="0.25">
      <c r="A146" s="1">
        <v>46167</v>
      </c>
      <c r="B146" t="s">
        <v>16</v>
      </c>
      <c r="C146" t="s">
        <v>17</v>
      </c>
      <c r="D146" t="s">
        <v>14</v>
      </c>
      <c r="E146" t="s">
        <v>26</v>
      </c>
      <c r="F146">
        <v>3</v>
      </c>
      <c r="G146">
        <v>33.200000000000003</v>
      </c>
      <c r="H146">
        <f t="shared" si="2"/>
        <v>99.600000000000009</v>
      </c>
    </row>
    <row r="147" spans="1:8" hidden="1" x14ac:dyDescent="0.25">
      <c r="A147" s="1">
        <v>46168</v>
      </c>
      <c r="B147" t="s">
        <v>8</v>
      </c>
      <c r="C147" t="s">
        <v>34</v>
      </c>
      <c r="D147" t="s">
        <v>46</v>
      </c>
      <c r="E147" t="s">
        <v>44</v>
      </c>
      <c r="F147">
        <v>8</v>
      </c>
      <c r="G147">
        <v>1453.51</v>
      </c>
      <c r="H147">
        <f t="shared" si="2"/>
        <v>11628.08</v>
      </c>
    </row>
    <row r="148" spans="1:8" hidden="1" x14ac:dyDescent="0.25">
      <c r="A148" s="1">
        <v>46169</v>
      </c>
      <c r="B148" t="s">
        <v>19</v>
      </c>
      <c r="C148" t="s">
        <v>20</v>
      </c>
      <c r="D148" t="s">
        <v>43</v>
      </c>
      <c r="E148" t="s">
        <v>28</v>
      </c>
      <c r="F148">
        <v>6</v>
      </c>
      <c r="G148">
        <v>109.18</v>
      </c>
      <c r="H148">
        <f t="shared" si="2"/>
        <v>655.08000000000004</v>
      </c>
    </row>
    <row r="149" spans="1:8" hidden="1" x14ac:dyDescent="0.25">
      <c r="A149" s="1">
        <v>46170</v>
      </c>
      <c r="B149" t="s">
        <v>8</v>
      </c>
      <c r="C149" t="s">
        <v>20</v>
      </c>
      <c r="D149" t="s">
        <v>43</v>
      </c>
      <c r="E149" t="s">
        <v>53</v>
      </c>
      <c r="F149">
        <v>3</v>
      </c>
      <c r="G149">
        <v>1181.17</v>
      </c>
      <c r="H149">
        <f t="shared" si="2"/>
        <v>3543.51</v>
      </c>
    </row>
    <row r="150" spans="1:8" hidden="1" x14ac:dyDescent="0.25">
      <c r="A150" s="1">
        <v>46171</v>
      </c>
      <c r="B150" t="s">
        <v>27</v>
      </c>
      <c r="C150" t="s">
        <v>9</v>
      </c>
      <c r="D150" t="s">
        <v>10</v>
      </c>
      <c r="E150" t="s">
        <v>11</v>
      </c>
      <c r="F150">
        <v>1</v>
      </c>
      <c r="G150">
        <v>540.91</v>
      </c>
      <c r="H150">
        <f t="shared" si="2"/>
        <v>540.91</v>
      </c>
    </row>
    <row r="151" spans="1:8" hidden="1" x14ac:dyDescent="0.25">
      <c r="A151" s="1">
        <v>46172</v>
      </c>
      <c r="B151" t="s">
        <v>8</v>
      </c>
      <c r="C151" t="s">
        <v>20</v>
      </c>
      <c r="D151" t="s">
        <v>10</v>
      </c>
      <c r="E151" t="s">
        <v>22</v>
      </c>
      <c r="F151">
        <v>9</v>
      </c>
      <c r="G151">
        <v>819.05</v>
      </c>
      <c r="H151">
        <f t="shared" si="2"/>
        <v>7371.45</v>
      </c>
    </row>
    <row r="152" spans="1:8" hidden="1" x14ac:dyDescent="0.25">
      <c r="A152" s="1">
        <v>46173</v>
      </c>
      <c r="B152" t="s">
        <v>19</v>
      </c>
      <c r="C152" t="s">
        <v>34</v>
      </c>
      <c r="D152" t="s">
        <v>10</v>
      </c>
      <c r="E152" t="s">
        <v>47</v>
      </c>
      <c r="F152">
        <v>4</v>
      </c>
      <c r="G152">
        <v>48.45</v>
      </c>
      <c r="H152">
        <f t="shared" si="2"/>
        <v>193.8</v>
      </c>
    </row>
    <row r="153" spans="1:8" hidden="1" x14ac:dyDescent="0.25">
      <c r="A153" s="1">
        <v>46174</v>
      </c>
      <c r="B153" t="s">
        <v>27</v>
      </c>
      <c r="C153" t="s">
        <v>13</v>
      </c>
      <c r="D153" t="s">
        <v>31</v>
      </c>
      <c r="E153" t="s">
        <v>51</v>
      </c>
      <c r="F153">
        <v>9</v>
      </c>
      <c r="G153">
        <v>660.8</v>
      </c>
      <c r="H153">
        <f t="shared" si="2"/>
        <v>5947.2</v>
      </c>
    </row>
    <row r="154" spans="1:8" hidden="1" x14ac:dyDescent="0.25">
      <c r="A154" s="1">
        <v>46175</v>
      </c>
      <c r="B154" t="s">
        <v>8</v>
      </c>
      <c r="C154" t="s">
        <v>20</v>
      </c>
      <c r="D154" t="s">
        <v>14</v>
      </c>
      <c r="E154" t="s">
        <v>28</v>
      </c>
      <c r="F154">
        <v>1</v>
      </c>
      <c r="G154">
        <v>528.01</v>
      </c>
      <c r="H154">
        <f t="shared" si="2"/>
        <v>528.01</v>
      </c>
    </row>
    <row r="155" spans="1:8" hidden="1" x14ac:dyDescent="0.25">
      <c r="A155" s="1">
        <v>46176</v>
      </c>
      <c r="B155" t="s">
        <v>8</v>
      </c>
      <c r="C155" t="s">
        <v>13</v>
      </c>
      <c r="D155" t="s">
        <v>21</v>
      </c>
      <c r="E155" t="s">
        <v>51</v>
      </c>
      <c r="F155">
        <v>4</v>
      </c>
      <c r="G155">
        <v>753.11</v>
      </c>
      <c r="H155">
        <f t="shared" si="2"/>
        <v>3012.44</v>
      </c>
    </row>
    <row r="156" spans="1:8" x14ac:dyDescent="0.25">
      <c r="A156" s="1">
        <v>46177</v>
      </c>
      <c r="B156" t="s">
        <v>12</v>
      </c>
      <c r="C156" t="s">
        <v>13</v>
      </c>
      <c r="D156" t="s">
        <v>41</v>
      </c>
      <c r="E156" t="s">
        <v>37</v>
      </c>
      <c r="F156">
        <v>5</v>
      </c>
      <c r="G156">
        <v>1169.3499999999999</v>
      </c>
      <c r="H156">
        <f t="shared" si="2"/>
        <v>5846.75</v>
      </c>
    </row>
    <row r="157" spans="1:8" hidden="1" x14ac:dyDescent="0.25">
      <c r="A157" s="1">
        <v>46178</v>
      </c>
      <c r="B157" t="s">
        <v>27</v>
      </c>
      <c r="C157" t="s">
        <v>9</v>
      </c>
      <c r="D157" t="s">
        <v>14</v>
      </c>
      <c r="E157" t="s">
        <v>56</v>
      </c>
      <c r="F157">
        <v>3</v>
      </c>
      <c r="G157">
        <v>1296.8699999999999</v>
      </c>
      <c r="H157">
        <f t="shared" si="2"/>
        <v>3890.6099999999997</v>
      </c>
    </row>
    <row r="158" spans="1:8" hidden="1" x14ac:dyDescent="0.25">
      <c r="A158" s="1">
        <v>46179</v>
      </c>
      <c r="B158" t="s">
        <v>27</v>
      </c>
      <c r="C158" t="s">
        <v>20</v>
      </c>
      <c r="D158" t="s">
        <v>31</v>
      </c>
      <c r="E158" t="s">
        <v>52</v>
      </c>
      <c r="F158">
        <v>9</v>
      </c>
      <c r="G158">
        <v>676.9</v>
      </c>
      <c r="H158">
        <f t="shared" si="2"/>
        <v>6092.0999999999995</v>
      </c>
    </row>
    <row r="159" spans="1:8" x14ac:dyDescent="0.25">
      <c r="A159" s="1">
        <v>46180</v>
      </c>
      <c r="B159" t="s">
        <v>12</v>
      </c>
      <c r="C159" t="s">
        <v>29</v>
      </c>
      <c r="D159" t="s">
        <v>31</v>
      </c>
      <c r="E159" t="s">
        <v>45</v>
      </c>
      <c r="F159">
        <v>8</v>
      </c>
      <c r="G159">
        <v>198.09</v>
      </c>
      <c r="H159">
        <f t="shared" si="2"/>
        <v>1584.72</v>
      </c>
    </row>
    <row r="160" spans="1:8" x14ac:dyDescent="0.25">
      <c r="A160" s="1">
        <v>46181</v>
      </c>
      <c r="B160" t="s">
        <v>12</v>
      </c>
      <c r="C160" t="s">
        <v>9</v>
      </c>
      <c r="D160" t="s">
        <v>21</v>
      </c>
      <c r="E160" t="s">
        <v>42</v>
      </c>
      <c r="F160">
        <v>2</v>
      </c>
      <c r="G160">
        <v>620.5</v>
      </c>
      <c r="H160">
        <f t="shared" si="2"/>
        <v>1241</v>
      </c>
    </row>
    <row r="161" spans="1:8" x14ac:dyDescent="0.25">
      <c r="A161" s="1">
        <v>46182</v>
      </c>
      <c r="B161" t="s">
        <v>12</v>
      </c>
      <c r="C161" t="s">
        <v>17</v>
      </c>
      <c r="D161" t="s">
        <v>43</v>
      </c>
      <c r="E161" t="s">
        <v>18</v>
      </c>
      <c r="F161">
        <v>7</v>
      </c>
      <c r="G161">
        <v>1212.0999999999999</v>
      </c>
      <c r="H161">
        <f t="shared" si="2"/>
        <v>8484.6999999999989</v>
      </c>
    </row>
    <row r="162" spans="1:8" hidden="1" x14ac:dyDescent="0.25">
      <c r="A162" s="1">
        <v>46183</v>
      </c>
      <c r="B162" t="s">
        <v>19</v>
      </c>
      <c r="C162" t="s">
        <v>20</v>
      </c>
      <c r="D162" t="s">
        <v>14</v>
      </c>
      <c r="E162" t="s">
        <v>53</v>
      </c>
      <c r="F162">
        <v>2</v>
      </c>
      <c r="G162">
        <v>1249.73</v>
      </c>
      <c r="H162">
        <f t="shared" si="2"/>
        <v>2499.46</v>
      </c>
    </row>
    <row r="163" spans="1:8" x14ac:dyDescent="0.25">
      <c r="A163" s="1">
        <v>46184</v>
      </c>
      <c r="B163" t="s">
        <v>12</v>
      </c>
      <c r="C163" t="s">
        <v>29</v>
      </c>
      <c r="D163" t="s">
        <v>14</v>
      </c>
      <c r="E163" t="s">
        <v>54</v>
      </c>
      <c r="F163">
        <v>7</v>
      </c>
      <c r="G163">
        <v>1248.3599999999999</v>
      </c>
      <c r="H163">
        <f t="shared" si="2"/>
        <v>8738.5199999999986</v>
      </c>
    </row>
    <row r="164" spans="1:8" hidden="1" x14ac:dyDescent="0.25">
      <c r="A164" s="1">
        <v>46185</v>
      </c>
      <c r="B164" t="s">
        <v>19</v>
      </c>
      <c r="C164" t="s">
        <v>29</v>
      </c>
      <c r="D164" t="s">
        <v>31</v>
      </c>
      <c r="E164" t="s">
        <v>36</v>
      </c>
      <c r="F164">
        <v>10</v>
      </c>
      <c r="G164">
        <v>945.38</v>
      </c>
      <c r="H164">
        <f t="shared" si="2"/>
        <v>9453.7999999999993</v>
      </c>
    </row>
    <row r="165" spans="1:8" hidden="1" x14ac:dyDescent="0.25">
      <c r="A165" s="1">
        <v>46186</v>
      </c>
      <c r="B165" t="s">
        <v>19</v>
      </c>
      <c r="C165" t="s">
        <v>13</v>
      </c>
      <c r="D165" t="s">
        <v>21</v>
      </c>
      <c r="E165" t="s">
        <v>40</v>
      </c>
      <c r="F165">
        <v>6</v>
      </c>
      <c r="G165">
        <v>1442.78</v>
      </c>
      <c r="H165">
        <f t="shared" si="2"/>
        <v>8656.68</v>
      </c>
    </row>
    <row r="166" spans="1:8" x14ac:dyDescent="0.25">
      <c r="A166" s="1">
        <v>46187</v>
      </c>
      <c r="B166" t="s">
        <v>12</v>
      </c>
      <c r="C166" t="s">
        <v>17</v>
      </c>
      <c r="D166" t="s">
        <v>43</v>
      </c>
      <c r="E166" t="s">
        <v>49</v>
      </c>
      <c r="F166">
        <v>3</v>
      </c>
      <c r="G166">
        <v>1473.55</v>
      </c>
      <c r="H166">
        <f t="shared" si="2"/>
        <v>4420.6499999999996</v>
      </c>
    </row>
    <row r="167" spans="1:8" hidden="1" x14ac:dyDescent="0.25">
      <c r="A167" s="1">
        <v>46188</v>
      </c>
      <c r="B167" t="s">
        <v>8</v>
      </c>
      <c r="C167" t="s">
        <v>34</v>
      </c>
      <c r="D167" t="s">
        <v>46</v>
      </c>
      <c r="E167" t="s">
        <v>55</v>
      </c>
      <c r="F167">
        <v>4</v>
      </c>
      <c r="G167">
        <v>139.83000000000001</v>
      </c>
      <c r="H167">
        <f t="shared" si="2"/>
        <v>559.32000000000005</v>
      </c>
    </row>
    <row r="168" spans="1:8" hidden="1" x14ac:dyDescent="0.25">
      <c r="A168" s="1">
        <v>46189</v>
      </c>
      <c r="B168" t="s">
        <v>19</v>
      </c>
      <c r="C168" t="s">
        <v>20</v>
      </c>
      <c r="D168" t="s">
        <v>10</v>
      </c>
      <c r="E168" t="s">
        <v>22</v>
      </c>
      <c r="F168">
        <v>1</v>
      </c>
      <c r="G168">
        <v>1446.13</v>
      </c>
      <c r="H168">
        <f t="shared" si="2"/>
        <v>1446.13</v>
      </c>
    </row>
    <row r="169" spans="1:8" x14ac:dyDescent="0.25">
      <c r="A169" s="1">
        <v>46190</v>
      </c>
      <c r="B169" t="s">
        <v>12</v>
      </c>
      <c r="C169" t="s">
        <v>29</v>
      </c>
      <c r="D169" t="s">
        <v>14</v>
      </c>
      <c r="E169" t="s">
        <v>50</v>
      </c>
      <c r="F169">
        <v>9</v>
      </c>
      <c r="G169">
        <v>826.89</v>
      </c>
      <c r="H169">
        <f t="shared" si="2"/>
        <v>7442.01</v>
      </c>
    </row>
    <row r="170" spans="1:8" x14ac:dyDescent="0.25">
      <c r="A170" s="1">
        <v>46191</v>
      </c>
      <c r="B170" t="s">
        <v>12</v>
      </c>
      <c r="C170" t="s">
        <v>17</v>
      </c>
      <c r="D170" t="s">
        <v>43</v>
      </c>
      <c r="E170" t="s">
        <v>49</v>
      </c>
      <c r="F170">
        <v>5</v>
      </c>
      <c r="G170">
        <v>191.61</v>
      </c>
      <c r="H170">
        <f t="shared" si="2"/>
        <v>958.05000000000007</v>
      </c>
    </row>
    <row r="171" spans="1:8" hidden="1" x14ac:dyDescent="0.25">
      <c r="A171" s="1">
        <v>46192</v>
      </c>
      <c r="B171" t="s">
        <v>27</v>
      </c>
      <c r="C171" t="s">
        <v>13</v>
      </c>
      <c r="D171" t="s">
        <v>24</v>
      </c>
      <c r="E171" t="s">
        <v>37</v>
      </c>
      <c r="F171">
        <v>5</v>
      </c>
      <c r="G171">
        <v>1164.1300000000001</v>
      </c>
      <c r="H171">
        <f t="shared" si="2"/>
        <v>5820.6500000000005</v>
      </c>
    </row>
    <row r="172" spans="1:8" hidden="1" x14ac:dyDescent="0.25">
      <c r="A172" s="1">
        <v>46193</v>
      </c>
      <c r="B172" t="s">
        <v>19</v>
      </c>
      <c r="C172" t="s">
        <v>9</v>
      </c>
      <c r="D172" t="s">
        <v>31</v>
      </c>
      <c r="E172" t="s">
        <v>33</v>
      </c>
      <c r="F172">
        <v>3</v>
      </c>
      <c r="G172">
        <v>320.64</v>
      </c>
      <c r="H172">
        <f t="shared" si="2"/>
        <v>961.92</v>
      </c>
    </row>
    <row r="173" spans="1:8" hidden="1" x14ac:dyDescent="0.25">
      <c r="A173" s="1">
        <v>46194</v>
      </c>
      <c r="B173" t="s">
        <v>8</v>
      </c>
      <c r="C173" t="s">
        <v>13</v>
      </c>
      <c r="D173" t="s">
        <v>43</v>
      </c>
      <c r="E173" t="s">
        <v>40</v>
      </c>
      <c r="F173">
        <v>4</v>
      </c>
      <c r="G173">
        <v>984.64</v>
      </c>
      <c r="H173">
        <f t="shared" si="2"/>
        <v>3938.56</v>
      </c>
    </row>
    <row r="174" spans="1:8" hidden="1" x14ac:dyDescent="0.25">
      <c r="A174" s="1">
        <v>46195</v>
      </c>
      <c r="B174" t="s">
        <v>16</v>
      </c>
      <c r="C174" t="s">
        <v>9</v>
      </c>
      <c r="D174" t="s">
        <v>43</v>
      </c>
      <c r="E174" t="s">
        <v>33</v>
      </c>
      <c r="F174">
        <v>2</v>
      </c>
      <c r="G174">
        <v>200.95</v>
      </c>
      <c r="H174">
        <f t="shared" si="2"/>
        <v>401.9</v>
      </c>
    </row>
    <row r="175" spans="1:8" hidden="1" x14ac:dyDescent="0.25">
      <c r="A175" s="1">
        <v>46196</v>
      </c>
      <c r="B175" t="s">
        <v>27</v>
      </c>
      <c r="C175" t="s">
        <v>34</v>
      </c>
      <c r="D175" t="s">
        <v>31</v>
      </c>
      <c r="E175" t="s">
        <v>44</v>
      </c>
      <c r="F175">
        <v>1</v>
      </c>
      <c r="G175">
        <v>157.57</v>
      </c>
      <c r="H175">
        <f t="shared" si="2"/>
        <v>157.57</v>
      </c>
    </row>
    <row r="176" spans="1:8" hidden="1" x14ac:dyDescent="0.25">
      <c r="A176" s="1">
        <v>46197</v>
      </c>
      <c r="B176" t="s">
        <v>8</v>
      </c>
      <c r="C176" t="s">
        <v>13</v>
      </c>
      <c r="D176" t="s">
        <v>10</v>
      </c>
      <c r="E176" t="s">
        <v>15</v>
      </c>
      <c r="F176">
        <v>9</v>
      </c>
      <c r="G176">
        <v>376.64</v>
      </c>
      <c r="H176">
        <f t="shared" si="2"/>
        <v>3389.7599999999998</v>
      </c>
    </row>
    <row r="177" spans="1:8" hidden="1" x14ac:dyDescent="0.25">
      <c r="A177" s="1">
        <v>46198</v>
      </c>
      <c r="B177" t="s">
        <v>27</v>
      </c>
      <c r="C177" t="s">
        <v>29</v>
      </c>
      <c r="D177" t="s">
        <v>14</v>
      </c>
      <c r="E177" t="s">
        <v>54</v>
      </c>
      <c r="F177">
        <v>8</v>
      </c>
      <c r="G177">
        <v>744.61</v>
      </c>
      <c r="H177">
        <f t="shared" si="2"/>
        <v>5956.88</v>
      </c>
    </row>
    <row r="178" spans="1:8" hidden="1" x14ac:dyDescent="0.25">
      <c r="A178" s="1">
        <v>46199</v>
      </c>
      <c r="B178" t="s">
        <v>27</v>
      </c>
      <c r="C178" t="s">
        <v>20</v>
      </c>
      <c r="D178" t="s">
        <v>24</v>
      </c>
      <c r="E178" t="s">
        <v>39</v>
      </c>
      <c r="F178">
        <v>4</v>
      </c>
      <c r="G178">
        <v>675.25</v>
      </c>
      <c r="H178">
        <f t="shared" si="2"/>
        <v>2701</v>
      </c>
    </row>
    <row r="179" spans="1:8" hidden="1" x14ac:dyDescent="0.25">
      <c r="A179" s="1">
        <v>46200</v>
      </c>
      <c r="B179" t="s">
        <v>16</v>
      </c>
      <c r="C179" t="s">
        <v>9</v>
      </c>
      <c r="D179" t="s">
        <v>21</v>
      </c>
      <c r="E179" t="s">
        <v>33</v>
      </c>
      <c r="F179">
        <v>9</v>
      </c>
      <c r="G179">
        <v>1131.5999999999999</v>
      </c>
      <c r="H179">
        <f t="shared" si="2"/>
        <v>10184.4</v>
      </c>
    </row>
    <row r="180" spans="1:8" hidden="1" x14ac:dyDescent="0.25">
      <c r="A180" s="1">
        <v>46201</v>
      </c>
      <c r="B180" t="s">
        <v>19</v>
      </c>
      <c r="C180" t="s">
        <v>17</v>
      </c>
      <c r="D180" t="s">
        <v>43</v>
      </c>
      <c r="E180" t="s">
        <v>49</v>
      </c>
      <c r="F180">
        <v>3</v>
      </c>
      <c r="G180">
        <v>237.33</v>
      </c>
      <c r="H180">
        <f t="shared" si="2"/>
        <v>711.99</v>
      </c>
    </row>
    <row r="181" spans="1:8" hidden="1" x14ac:dyDescent="0.25">
      <c r="A181" s="1">
        <v>46202</v>
      </c>
      <c r="B181" t="s">
        <v>19</v>
      </c>
      <c r="C181" t="s">
        <v>17</v>
      </c>
      <c r="D181" t="s">
        <v>43</v>
      </c>
      <c r="E181" t="s">
        <v>25</v>
      </c>
      <c r="F181">
        <v>2</v>
      </c>
      <c r="G181">
        <v>801.93</v>
      </c>
      <c r="H181">
        <f t="shared" si="2"/>
        <v>1603.86</v>
      </c>
    </row>
    <row r="182" spans="1:8" x14ac:dyDescent="0.25">
      <c r="A182" s="1">
        <v>46203</v>
      </c>
      <c r="B182" t="s">
        <v>12</v>
      </c>
      <c r="C182" t="s">
        <v>9</v>
      </c>
      <c r="D182" t="s">
        <v>46</v>
      </c>
      <c r="E182" t="s">
        <v>56</v>
      </c>
      <c r="F182">
        <v>7</v>
      </c>
      <c r="G182">
        <v>886.14</v>
      </c>
      <c r="H182">
        <f t="shared" si="2"/>
        <v>6202.98</v>
      </c>
    </row>
    <row r="183" spans="1:8" hidden="1" x14ac:dyDescent="0.25">
      <c r="A183" s="1">
        <v>46204</v>
      </c>
      <c r="B183" t="s">
        <v>27</v>
      </c>
      <c r="C183" t="s">
        <v>13</v>
      </c>
      <c r="D183" t="s">
        <v>21</v>
      </c>
      <c r="E183" t="s">
        <v>51</v>
      </c>
      <c r="F183">
        <v>9</v>
      </c>
      <c r="G183">
        <v>1496.71</v>
      </c>
      <c r="H183">
        <f t="shared" si="2"/>
        <v>13470.39</v>
      </c>
    </row>
    <row r="184" spans="1:8" x14ac:dyDescent="0.25">
      <c r="A184" s="1">
        <v>46205</v>
      </c>
      <c r="B184" t="s">
        <v>12</v>
      </c>
      <c r="C184" t="s">
        <v>9</v>
      </c>
      <c r="D184" t="s">
        <v>43</v>
      </c>
      <c r="E184" t="s">
        <v>11</v>
      </c>
      <c r="F184">
        <v>8</v>
      </c>
      <c r="G184">
        <v>1312.58</v>
      </c>
      <c r="H184">
        <f t="shared" si="2"/>
        <v>10500.64</v>
      </c>
    </row>
    <row r="185" spans="1:8" hidden="1" x14ac:dyDescent="0.25">
      <c r="A185" s="1">
        <v>46206</v>
      </c>
      <c r="B185" t="s">
        <v>27</v>
      </c>
      <c r="C185" t="s">
        <v>34</v>
      </c>
      <c r="D185" t="s">
        <v>14</v>
      </c>
      <c r="E185" t="s">
        <v>35</v>
      </c>
      <c r="F185">
        <v>9</v>
      </c>
      <c r="G185">
        <v>66.67</v>
      </c>
      <c r="H185">
        <f t="shared" si="2"/>
        <v>600.03</v>
      </c>
    </row>
    <row r="186" spans="1:8" hidden="1" x14ac:dyDescent="0.25">
      <c r="A186" s="1">
        <v>46207</v>
      </c>
      <c r="B186" t="s">
        <v>16</v>
      </c>
      <c r="C186" t="s">
        <v>17</v>
      </c>
      <c r="D186" t="s">
        <v>41</v>
      </c>
      <c r="E186" t="s">
        <v>48</v>
      </c>
      <c r="F186">
        <v>5</v>
      </c>
      <c r="G186">
        <v>41.8</v>
      </c>
      <c r="H186">
        <f t="shared" si="2"/>
        <v>209</v>
      </c>
    </row>
    <row r="187" spans="1:8" hidden="1" x14ac:dyDescent="0.25">
      <c r="A187" s="1">
        <v>46208</v>
      </c>
      <c r="B187" t="s">
        <v>19</v>
      </c>
      <c r="C187" t="s">
        <v>13</v>
      </c>
      <c r="D187" t="s">
        <v>43</v>
      </c>
      <c r="E187" t="s">
        <v>51</v>
      </c>
      <c r="F187">
        <v>5</v>
      </c>
      <c r="G187">
        <v>461.91</v>
      </c>
      <c r="H187">
        <f t="shared" si="2"/>
        <v>2309.5500000000002</v>
      </c>
    </row>
    <row r="188" spans="1:8" hidden="1" x14ac:dyDescent="0.25">
      <c r="A188" s="1">
        <v>46209</v>
      </c>
      <c r="B188" t="s">
        <v>27</v>
      </c>
      <c r="C188" t="s">
        <v>17</v>
      </c>
      <c r="D188" t="s">
        <v>10</v>
      </c>
      <c r="E188" t="s">
        <v>18</v>
      </c>
      <c r="F188">
        <v>5</v>
      </c>
      <c r="G188">
        <v>951.61</v>
      </c>
      <c r="H188">
        <f t="shared" si="2"/>
        <v>4758.05</v>
      </c>
    </row>
    <row r="189" spans="1:8" x14ac:dyDescent="0.25">
      <c r="A189" s="1">
        <v>46210</v>
      </c>
      <c r="B189" t="s">
        <v>12</v>
      </c>
      <c r="C189" t="s">
        <v>20</v>
      </c>
      <c r="D189" t="s">
        <v>10</v>
      </c>
      <c r="E189" t="s">
        <v>22</v>
      </c>
      <c r="F189">
        <v>6</v>
      </c>
      <c r="G189">
        <v>1232.6099999999999</v>
      </c>
      <c r="H189">
        <f t="shared" si="2"/>
        <v>7395.66</v>
      </c>
    </row>
    <row r="190" spans="1:8" hidden="1" x14ac:dyDescent="0.25">
      <c r="A190" s="1">
        <v>46211</v>
      </c>
      <c r="B190" t="s">
        <v>16</v>
      </c>
      <c r="C190" t="s">
        <v>17</v>
      </c>
      <c r="D190" t="s">
        <v>43</v>
      </c>
      <c r="E190" t="s">
        <v>26</v>
      </c>
      <c r="F190">
        <v>5</v>
      </c>
      <c r="G190">
        <v>780.75</v>
      </c>
      <c r="H190">
        <f t="shared" si="2"/>
        <v>3903.75</v>
      </c>
    </row>
    <row r="191" spans="1:8" hidden="1" x14ac:dyDescent="0.25">
      <c r="A191" s="1">
        <v>46212</v>
      </c>
      <c r="B191" t="s">
        <v>27</v>
      </c>
      <c r="C191" t="s">
        <v>9</v>
      </c>
      <c r="D191" t="s">
        <v>10</v>
      </c>
      <c r="E191" t="s">
        <v>11</v>
      </c>
      <c r="F191">
        <v>5</v>
      </c>
      <c r="G191">
        <v>741.27</v>
      </c>
      <c r="H191">
        <f t="shared" si="2"/>
        <v>3706.35</v>
      </c>
    </row>
    <row r="192" spans="1:8" hidden="1" x14ac:dyDescent="0.25">
      <c r="A192" s="1">
        <v>46213</v>
      </c>
      <c r="B192" t="s">
        <v>16</v>
      </c>
      <c r="C192" t="s">
        <v>17</v>
      </c>
      <c r="D192" t="s">
        <v>43</v>
      </c>
      <c r="E192" t="s">
        <v>49</v>
      </c>
      <c r="F192">
        <v>1</v>
      </c>
      <c r="G192">
        <v>1485.35</v>
      </c>
      <c r="H192">
        <f t="shared" si="2"/>
        <v>1485.35</v>
      </c>
    </row>
    <row r="193" spans="1:8" hidden="1" x14ac:dyDescent="0.25">
      <c r="A193" s="1">
        <v>46214</v>
      </c>
      <c r="B193" t="s">
        <v>16</v>
      </c>
      <c r="C193" t="s">
        <v>9</v>
      </c>
      <c r="D193" t="s">
        <v>41</v>
      </c>
      <c r="E193" t="s">
        <v>42</v>
      </c>
      <c r="F193">
        <v>3</v>
      </c>
      <c r="G193">
        <v>1081.54</v>
      </c>
      <c r="H193">
        <f t="shared" si="2"/>
        <v>3244.62</v>
      </c>
    </row>
    <row r="194" spans="1:8" x14ac:dyDescent="0.25">
      <c r="A194" s="1">
        <v>46215</v>
      </c>
      <c r="B194" t="s">
        <v>12</v>
      </c>
      <c r="C194" t="s">
        <v>13</v>
      </c>
      <c r="D194" t="s">
        <v>41</v>
      </c>
      <c r="E194" t="s">
        <v>15</v>
      </c>
      <c r="F194">
        <v>2</v>
      </c>
      <c r="G194">
        <v>791.51</v>
      </c>
      <c r="H194">
        <f t="shared" si="2"/>
        <v>1583.02</v>
      </c>
    </row>
    <row r="195" spans="1:8" x14ac:dyDescent="0.25">
      <c r="A195" s="1">
        <v>46216</v>
      </c>
      <c r="B195" t="s">
        <v>12</v>
      </c>
      <c r="C195" t="s">
        <v>29</v>
      </c>
      <c r="D195" t="s">
        <v>10</v>
      </c>
      <c r="E195" t="s">
        <v>50</v>
      </c>
      <c r="F195">
        <v>5</v>
      </c>
      <c r="G195">
        <v>836.01</v>
      </c>
      <c r="H195">
        <f t="shared" ref="H195:H258" si="3">F195*G195</f>
        <v>4180.05</v>
      </c>
    </row>
    <row r="196" spans="1:8" hidden="1" x14ac:dyDescent="0.25">
      <c r="A196" s="1">
        <v>46217</v>
      </c>
      <c r="B196" t="s">
        <v>19</v>
      </c>
      <c r="C196" t="s">
        <v>29</v>
      </c>
      <c r="D196" t="s">
        <v>31</v>
      </c>
      <c r="E196" t="s">
        <v>36</v>
      </c>
      <c r="F196">
        <v>9</v>
      </c>
      <c r="G196">
        <v>717.73</v>
      </c>
      <c r="H196">
        <f t="shared" si="3"/>
        <v>6459.57</v>
      </c>
    </row>
    <row r="197" spans="1:8" hidden="1" x14ac:dyDescent="0.25">
      <c r="A197" s="1">
        <v>46218</v>
      </c>
      <c r="B197" t="s">
        <v>19</v>
      </c>
      <c r="C197" t="s">
        <v>34</v>
      </c>
      <c r="D197" t="s">
        <v>14</v>
      </c>
      <c r="E197" t="s">
        <v>47</v>
      </c>
      <c r="F197">
        <v>7</v>
      </c>
      <c r="G197">
        <v>1426.46</v>
      </c>
      <c r="H197">
        <f t="shared" si="3"/>
        <v>9985.2200000000012</v>
      </c>
    </row>
    <row r="198" spans="1:8" hidden="1" x14ac:dyDescent="0.25">
      <c r="A198" s="1">
        <v>46219</v>
      </c>
      <c r="B198" t="s">
        <v>27</v>
      </c>
      <c r="C198" t="s">
        <v>20</v>
      </c>
      <c r="D198" t="s">
        <v>46</v>
      </c>
      <c r="E198" t="s">
        <v>39</v>
      </c>
      <c r="F198">
        <v>2</v>
      </c>
      <c r="G198">
        <v>1499.62</v>
      </c>
      <c r="H198">
        <f t="shared" si="3"/>
        <v>2999.24</v>
      </c>
    </row>
    <row r="199" spans="1:8" hidden="1" x14ac:dyDescent="0.25">
      <c r="A199" s="1">
        <v>46220</v>
      </c>
      <c r="B199" t="s">
        <v>16</v>
      </c>
      <c r="C199" t="s">
        <v>9</v>
      </c>
      <c r="D199" t="s">
        <v>21</v>
      </c>
      <c r="E199" t="s">
        <v>42</v>
      </c>
      <c r="F199">
        <v>3</v>
      </c>
      <c r="G199">
        <v>154.88999999999999</v>
      </c>
      <c r="H199">
        <f t="shared" si="3"/>
        <v>464.66999999999996</v>
      </c>
    </row>
    <row r="200" spans="1:8" x14ac:dyDescent="0.25">
      <c r="A200" s="1">
        <v>46221</v>
      </c>
      <c r="B200" t="s">
        <v>12</v>
      </c>
      <c r="C200" t="s">
        <v>20</v>
      </c>
      <c r="D200" t="s">
        <v>46</v>
      </c>
      <c r="E200" t="s">
        <v>28</v>
      </c>
      <c r="F200">
        <v>4</v>
      </c>
      <c r="G200">
        <v>1409.34</v>
      </c>
      <c r="H200">
        <f t="shared" si="3"/>
        <v>5637.36</v>
      </c>
    </row>
    <row r="201" spans="1:8" hidden="1" x14ac:dyDescent="0.25">
      <c r="A201" s="1">
        <v>46222</v>
      </c>
      <c r="B201" t="s">
        <v>19</v>
      </c>
      <c r="C201" t="s">
        <v>20</v>
      </c>
      <c r="D201" t="s">
        <v>14</v>
      </c>
      <c r="E201" t="s">
        <v>39</v>
      </c>
      <c r="F201">
        <v>8</v>
      </c>
      <c r="G201">
        <v>1146.4100000000001</v>
      </c>
      <c r="H201">
        <f t="shared" si="3"/>
        <v>9171.2800000000007</v>
      </c>
    </row>
    <row r="202" spans="1:8" hidden="1" x14ac:dyDescent="0.25">
      <c r="A202" s="1">
        <v>46223</v>
      </c>
      <c r="B202" t="s">
        <v>19</v>
      </c>
      <c r="C202" t="s">
        <v>13</v>
      </c>
      <c r="D202" t="s">
        <v>41</v>
      </c>
      <c r="E202" t="s">
        <v>40</v>
      </c>
      <c r="F202">
        <v>8</v>
      </c>
      <c r="G202">
        <v>298.57</v>
      </c>
      <c r="H202">
        <f t="shared" si="3"/>
        <v>2388.56</v>
      </c>
    </row>
    <row r="203" spans="1:8" hidden="1" x14ac:dyDescent="0.25">
      <c r="A203" s="1">
        <v>46224</v>
      </c>
      <c r="B203" t="s">
        <v>19</v>
      </c>
      <c r="C203" t="s">
        <v>34</v>
      </c>
      <c r="D203" t="s">
        <v>31</v>
      </c>
      <c r="E203" t="s">
        <v>47</v>
      </c>
      <c r="F203">
        <v>6</v>
      </c>
      <c r="G203">
        <v>1244.3800000000001</v>
      </c>
      <c r="H203">
        <f t="shared" si="3"/>
        <v>7466.2800000000007</v>
      </c>
    </row>
    <row r="204" spans="1:8" hidden="1" x14ac:dyDescent="0.25">
      <c r="A204" s="1">
        <v>46225</v>
      </c>
      <c r="B204" t="s">
        <v>8</v>
      </c>
      <c r="C204" t="s">
        <v>9</v>
      </c>
      <c r="D204" t="s">
        <v>10</v>
      </c>
      <c r="E204" t="s">
        <v>56</v>
      </c>
      <c r="F204">
        <v>1</v>
      </c>
      <c r="G204">
        <v>423.89</v>
      </c>
      <c r="H204">
        <f t="shared" si="3"/>
        <v>423.89</v>
      </c>
    </row>
    <row r="205" spans="1:8" hidden="1" x14ac:dyDescent="0.25">
      <c r="A205" s="1">
        <v>46226</v>
      </c>
      <c r="B205" t="s">
        <v>8</v>
      </c>
      <c r="C205" t="s">
        <v>17</v>
      </c>
      <c r="D205" t="s">
        <v>43</v>
      </c>
      <c r="E205" t="s">
        <v>26</v>
      </c>
      <c r="F205">
        <v>9</v>
      </c>
      <c r="G205">
        <v>708.63</v>
      </c>
      <c r="H205">
        <f t="shared" si="3"/>
        <v>6377.67</v>
      </c>
    </row>
    <row r="206" spans="1:8" hidden="1" x14ac:dyDescent="0.25">
      <c r="A206" s="1">
        <v>46227</v>
      </c>
      <c r="B206" t="s">
        <v>19</v>
      </c>
      <c r="C206" t="s">
        <v>20</v>
      </c>
      <c r="D206" t="s">
        <v>24</v>
      </c>
      <c r="E206" t="s">
        <v>53</v>
      </c>
      <c r="F206">
        <v>6</v>
      </c>
      <c r="G206">
        <v>356.97</v>
      </c>
      <c r="H206">
        <f t="shared" si="3"/>
        <v>2141.8200000000002</v>
      </c>
    </row>
    <row r="207" spans="1:8" hidden="1" x14ac:dyDescent="0.25">
      <c r="A207" s="1">
        <v>46228</v>
      </c>
      <c r="B207" t="s">
        <v>8</v>
      </c>
      <c r="C207" t="s">
        <v>9</v>
      </c>
      <c r="D207" t="s">
        <v>31</v>
      </c>
      <c r="E207" t="s">
        <v>11</v>
      </c>
      <c r="F207">
        <v>5</v>
      </c>
      <c r="G207">
        <v>1254.18</v>
      </c>
      <c r="H207">
        <f t="shared" si="3"/>
        <v>6270.9000000000005</v>
      </c>
    </row>
    <row r="208" spans="1:8" hidden="1" x14ac:dyDescent="0.25">
      <c r="A208" s="1">
        <v>46229</v>
      </c>
      <c r="B208" t="s">
        <v>8</v>
      </c>
      <c r="C208" t="s">
        <v>17</v>
      </c>
      <c r="D208" t="s">
        <v>24</v>
      </c>
      <c r="E208" t="s">
        <v>18</v>
      </c>
      <c r="F208">
        <v>10</v>
      </c>
      <c r="G208">
        <v>910.46</v>
      </c>
      <c r="H208">
        <f t="shared" si="3"/>
        <v>9104.6</v>
      </c>
    </row>
    <row r="209" spans="1:8" hidden="1" x14ac:dyDescent="0.25">
      <c r="A209" s="1">
        <v>46230</v>
      </c>
      <c r="B209" t="s">
        <v>8</v>
      </c>
      <c r="C209" t="s">
        <v>20</v>
      </c>
      <c r="D209" t="s">
        <v>10</v>
      </c>
      <c r="E209" t="s">
        <v>52</v>
      </c>
      <c r="F209">
        <v>3</v>
      </c>
      <c r="G209">
        <v>89.2</v>
      </c>
      <c r="H209">
        <f t="shared" si="3"/>
        <v>267.60000000000002</v>
      </c>
    </row>
    <row r="210" spans="1:8" hidden="1" x14ac:dyDescent="0.25">
      <c r="A210" s="1">
        <v>46231</v>
      </c>
      <c r="B210" t="s">
        <v>19</v>
      </c>
      <c r="C210" t="s">
        <v>20</v>
      </c>
      <c r="D210" t="s">
        <v>10</v>
      </c>
      <c r="E210" t="s">
        <v>22</v>
      </c>
      <c r="F210">
        <v>1</v>
      </c>
      <c r="G210">
        <v>784.12</v>
      </c>
      <c r="H210">
        <f t="shared" si="3"/>
        <v>784.12</v>
      </c>
    </row>
    <row r="211" spans="1:8" hidden="1" x14ac:dyDescent="0.25">
      <c r="A211" s="1">
        <v>46232</v>
      </c>
      <c r="B211" t="s">
        <v>8</v>
      </c>
      <c r="C211" t="s">
        <v>17</v>
      </c>
      <c r="D211" t="s">
        <v>14</v>
      </c>
      <c r="E211" t="s">
        <v>18</v>
      </c>
      <c r="F211">
        <v>10</v>
      </c>
      <c r="G211">
        <v>993.99</v>
      </c>
      <c r="H211">
        <f t="shared" si="3"/>
        <v>9939.9</v>
      </c>
    </row>
    <row r="212" spans="1:8" hidden="1" x14ac:dyDescent="0.25">
      <c r="A212" s="1">
        <v>46233</v>
      </c>
      <c r="B212" t="s">
        <v>27</v>
      </c>
      <c r="C212" t="s">
        <v>17</v>
      </c>
      <c r="D212" t="s">
        <v>46</v>
      </c>
      <c r="E212" t="s">
        <v>48</v>
      </c>
      <c r="F212">
        <v>5</v>
      </c>
      <c r="G212">
        <v>1144.18</v>
      </c>
      <c r="H212">
        <f t="shared" si="3"/>
        <v>5720.9000000000005</v>
      </c>
    </row>
    <row r="213" spans="1:8" hidden="1" x14ac:dyDescent="0.25">
      <c r="A213" s="1">
        <v>46234</v>
      </c>
      <c r="B213" t="s">
        <v>16</v>
      </c>
      <c r="C213" t="s">
        <v>17</v>
      </c>
      <c r="D213" t="s">
        <v>41</v>
      </c>
      <c r="E213" t="s">
        <v>49</v>
      </c>
      <c r="F213">
        <v>3</v>
      </c>
      <c r="G213">
        <v>59.73</v>
      </c>
      <c r="H213">
        <f t="shared" si="3"/>
        <v>179.19</v>
      </c>
    </row>
    <row r="214" spans="1:8" hidden="1" x14ac:dyDescent="0.25">
      <c r="A214" s="1">
        <v>46235</v>
      </c>
      <c r="B214" t="s">
        <v>19</v>
      </c>
      <c r="C214" t="s">
        <v>20</v>
      </c>
      <c r="D214" t="s">
        <v>10</v>
      </c>
      <c r="E214" t="s">
        <v>22</v>
      </c>
      <c r="F214">
        <v>4</v>
      </c>
      <c r="G214">
        <v>1004.96</v>
      </c>
      <c r="H214">
        <f t="shared" si="3"/>
        <v>4019.84</v>
      </c>
    </row>
    <row r="215" spans="1:8" hidden="1" x14ac:dyDescent="0.25">
      <c r="A215" s="1">
        <v>46236</v>
      </c>
      <c r="B215" t="s">
        <v>27</v>
      </c>
      <c r="C215" t="s">
        <v>29</v>
      </c>
      <c r="D215" t="s">
        <v>41</v>
      </c>
      <c r="E215" t="s">
        <v>54</v>
      </c>
      <c r="F215">
        <v>8</v>
      </c>
      <c r="G215">
        <v>1171.26</v>
      </c>
      <c r="H215">
        <f t="shared" si="3"/>
        <v>9370.08</v>
      </c>
    </row>
    <row r="216" spans="1:8" hidden="1" x14ac:dyDescent="0.25">
      <c r="A216" s="1">
        <v>46237</v>
      </c>
      <c r="B216" t="s">
        <v>8</v>
      </c>
      <c r="C216" t="s">
        <v>34</v>
      </c>
      <c r="D216" t="s">
        <v>31</v>
      </c>
      <c r="E216" t="s">
        <v>55</v>
      </c>
      <c r="F216">
        <v>9</v>
      </c>
      <c r="G216">
        <v>198.88</v>
      </c>
      <c r="H216">
        <f t="shared" si="3"/>
        <v>1789.92</v>
      </c>
    </row>
    <row r="217" spans="1:8" hidden="1" x14ac:dyDescent="0.25">
      <c r="A217" s="1">
        <v>46238</v>
      </c>
      <c r="B217" t="s">
        <v>19</v>
      </c>
      <c r="C217" t="s">
        <v>13</v>
      </c>
      <c r="D217" t="s">
        <v>14</v>
      </c>
      <c r="E217" t="s">
        <v>15</v>
      </c>
      <c r="F217">
        <v>7</v>
      </c>
      <c r="G217">
        <v>1445.49</v>
      </c>
      <c r="H217">
        <f t="shared" si="3"/>
        <v>10118.43</v>
      </c>
    </row>
    <row r="218" spans="1:8" hidden="1" x14ac:dyDescent="0.25">
      <c r="A218" s="1">
        <v>46239</v>
      </c>
      <c r="B218" t="s">
        <v>16</v>
      </c>
      <c r="C218" t="s">
        <v>9</v>
      </c>
      <c r="D218" t="s">
        <v>43</v>
      </c>
      <c r="E218" t="s">
        <v>33</v>
      </c>
      <c r="F218">
        <v>3</v>
      </c>
      <c r="G218">
        <v>1358.17</v>
      </c>
      <c r="H218">
        <f t="shared" si="3"/>
        <v>4074.51</v>
      </c>
    </row>
    <row r="219" spans="1:8" hidden="1" x14ac:dyDescent="0.25">
      <c r="A219" s="1">
        <v>46240</v>
      </c>
      <c r="B219" t="s">
        <v>27</v>
      </c>
      <c r="C219" t="s">
        <v>17</v>
      </c>
      <c r="D219" t="s">
        <v>10</v>
      </c>
      <c r="E219" t="s">
        <v>18</v>
      </c>
      <c r="F219">
        <v>6</v>
      </c>
      <c r="G219">
        <v>1155.1199999999999</v>
      </c>
      <c r="H219">
        <f t="shared" si="3"/>
        <v>6930.7199999999993</v>
      </c>
    </row>
    <row r="220" spans="1:8" hidden="1" x14ac:dyDescent="0.25">
      <c r="A220" s="1">
        <v>46241</v>
      </c>
      <c r="B220" t="s">
        <v>19</v>
      </c>
      <c r="C220" t="s">
        <v>13</v>
      </c>
      <c r="D220" t="s">
        <v>31</v>
      </c>
      <c r="E220" t="s">
        <v>40</v>
      </c>
      <c r="F220">
        <v>6</v>
      </c>
      <c r="G220">
        <v>258.88</v>
      </c>
      <c r="H220">
        <f t="shared" si="3"/>
        <v>1553.28</v>
      </c>
    </row>
    <row r="221" spans="1:8" hidden="1" x14ac:dyDescent="0.25">
      <c r="A221" s="1">
        <v>46242</v>
      </c>
      <c r="B221" t="s">
        <v>19</v>
      </c>
      <c r="C221" t="s">
        <v>29</v>
      </c>
      <c r="D221" t="s">
        <v>31</v>
      </c>
      <c r="E221" t="s">
        <v>30</v>
      </c>
      <c r="F221">
        <v>3</v>
      </c>
      <c r="G221">
        <v>703.91</v>
      </c>
      <c r="H221">
        <f t="shared" si="3"/>
        <v>2111.73</v>
      </c>
    </row>
    <row r="222" spans="1:8" hidden="1" x14ac:dyDescent="0.25">
      <c r="A222" s="1">
        <v>46243</v>
      </c>
      <c r="B222" t="s">
        <v>16</v>
      </c>
      <c r="C222" t="s">
        <v>9</v>
      </c>
      <c r="D222" t="s">
        <v>31</v>
      </c>
      <c r="E222" t="s">
        <v>42</v>
      </c>
      <c r="F222">
        <v>6</v>
      </c>
      <c r="G222">
        <v>740.1</v>
      </c>
      <c r="H222">
        <f t="shared" si="3"/>
        <v>4440.6000000000004</v>
      </c>
    </row>
    <row r="223" spans="1:8" hidden="1" x14ac:dyDescent="0.25">
      <c r="A223" s="1">
        <v>46244</v>
      </c>
      <c r="B223" t="s">
        <v>19</v>
      </c>
      <c r="C223" t="s">
        <v>13</v>
      </c>
      <c r="D223" t="s">
        <v>46</v>
      </c>
      <c r="E223" t="s">
        <v>15</v>
      </c>
      <c r="F223">
        <v>6</v>
      </c>
      <c r="G223">
        <v>133.55000000000001</v>
      </c>
      <c r="H223">
        <f t="shared" si="3"/>
        <v>801.30000000000007</v>
      </c>
    </row>
    <row r="224" spans="1:8" x14ac:dyDescent="0.25">
      <c r="A224" s="1">
        <v>46245</v>
      </c>
      <c r="B224" t="s">
        <v>12</v>
      </c>
      <c r="C224" t="s">
        <v>34</v>
      </c>
      <c r="D224" t="s">
        <v>14</v>
      </c>
      <c r="E224" t="s">
        <v>47</v>
      </c>
      <c r="F224">
        <v>4</v>
      </c>
      <c r="G224">
        <v>557.94000000000005</v>
      </c>
      <c r="H224">
        <f t="shared" si="3"/>
        <v>2231.7600000000002</v>
      </c>
    </row>
    <row r="225" spans="1:8" x14ac:dyDescent="0.25">
      <c r="A225" s="1">
        <v>46246</v>
      </c>
      <c r="B225" t="s">
        <v>12</v>
      </c>
      <c r="C225" t="s">
        <v>34</v>
      </c>
      <c r="D225" t="s">
        <v>24</v>
      </c>
      <c r="E225" t="s">
        <v>47</v>
      </c>
      <c r="F225">
        <v>7</v>
      </c>
      <c r="G225">
        <v>714.73</v>
      </c>
      <c r="H225">
        <f t="shared" si="3"/>
        <v>5003.1100000000006</v>
      </c>
    </row>
    <row r="226" spans="1:8" hidden="1" x14ac:dyDescent="0.25">
      <c r="A226" s="1">
        <v>46247</v>
      </c>
      <c r="B226" t="s">
        <v>27</v>
      </c>
      <c r="C226" t="s">
        <v>20</v>
      </c>
      <c r="D226" t="s">
        <v>14</v>
      </c>
      <c r="E226" t="s">
        <v>22</v>
      </c>
      <c r="F226">
        <v>3</v>
      </c>
      <c r="G226">
        <v>167.52</v>
      </c>
      <c r="H226">
        <f t="shared" si="3"/>
        <v>502.56000000000006</v>
      </c>
    </row>
    <row r="227" spans="1:8" hidden="1" x14ac:dyDescent="0.25">
      <c r="A227" s="1">
        <v>46248</v>
      </c>
      <c r="B227" t="s">
        <v>27</v>
      </c>
      <c r="C227" t="s">
        <v>17</v>
      </c>
      <c r="D227" t="s">
        <v>21</v>
      </c>
      <c r="E227" t="s">
        <v>49</v>
      </c>
      <c r="F227">
        <v>8</v>
      </c>
      <c r="G227">
        <v>1167.1600000000001</v>
      </c>
      <c r="H227">
        <f t="shared" si="3"/>
        <v>9337.2800000000007</v>
      </c>
    </row>
    <row r="228" spans="1:8" hidden="1" x14ac:dyDescent="0.25">
      <c r="A228" s="1">
        <v>46249</v>
      </c>
      <c r="B228" t="s">
        <v>27</v>
      </c>
      <c r="C228" t="s">
        <v>9</v>
      </c>
      <c r="D228" t="s">
        <v>10</v>
      </c>
      <c r="E228" t="s">
        <v>33</v>
      </c>
      <c r="F228">
        <v>4</v>
      </c>
      <c r="G228">
        <v>1063.99</v>
      </c>
      <c r="H228">
        <f t="shared" si="3"/>
        <v>4255.96</v>
      </c>
    </row>
    <row r="229" spans="1:8" hidden="1" x14ac:dyDescent="0.25">
      <c r="A229" s="1">
        <v>46250</v>
      </c>
      <c r="B229" t="s">
        <v>16</v>
      </c>
      <c r="C229" t="s">
        <v>9</v>
      </c>
      <c r="D229" t="s">
        <v>14</v>
      </c>
      <c r="E229" t="s">
        <v>56</v>
      </c>
      <c r="F229">
        <v>6</v>
      </c>
      <c r="G229">
        <v>1075.54</v>
      </c>
      <c r="H229">
        <f t="shared" si="3"/>
        <v>6453.24</v>
      </c>
    </row>
    <row r="230" spans="1:8" hidden="1" x14ac:dyDescent="0.25">
      <c r="A230" s="1">
        <v>46251</v>
      </c>
      <c r="B230" t="s">
        <v>8</v>
      </c>
      <c r="C230" t="s">
        <v>13</v>
      </c>
      <c r="D230" t="s">
        <v>43</v>
      </c>
      <c r="E230" t="s">
        <v>15</v>
      </c>
      <c r="F230">
        <v>8</v>
      </c>
      <c r="G230">
        <v>923.37</v>
      </c>
      <c r="H230">
        <f t="shared" si="3"/>
        <v>7386.96</v>
      </c>
    </row>
    <row r="231" spans="1:8" x14ac:dyDescent="0.25">
      <c r="A231" s="1">
        <v>46252</v>
      </c>
      <c r="B231" t="s">
        <v>12</v>
      </c>
      <c r="C231" t="s">
        <v>34</v>
      </c>
      <c r="D231" t="s">
        <v>41</v>
      </c>
      <c r="E231" t="s">
        <v>35</v>
      </c>
      <c r="F231">
        <v>8</v>
      </c>
      <c r="G231">
        <v>475.1</v>
      </c>
      <c r="H231">
        <f t="shared" si="3"/>
        <v>3800.8</v>
      </c>
    </row>
    <row r="232" spans="1:8" hidden="1" x14ac:dyDescent="0.25">
      <c r="A232" s="1">
        <v>46253</v>
      </c>
      <c r="B232" t="s">
        <v>8</v>
      </c>
      <c r="C232" t="s">
        <v>34</v>
      </c>
      <c r="D232" t="s">
        <v>31</v>
      </c>
      <c r="E232" t="s">
        <v>47</v>
      </c>
      <c r="F232">
        <v>6</v>
      </c>
      <c r="G232">
        <v>1303.92</v>
      </c>
      <c r="H232">
        <f t="shared" si="3"/>
        <v>7823.52</v>
      </c>
    </row>
    <row r="233" spans="1:8" hidden="1" x14ac:dyDescent="0.25">
      <c r="A233" s="1">
        <v>46254</v>
      </c>
      <c r="B233" t="s">
        <v>19</v>
      </c>
      <c r="C233" t="s">
        <v>13</v>
      </c>
      <c r="D233" t="s">
        <v>46</v>
      </c>
      <c r="E233" t="s">
        <v>23</v>
      </c>
      <c r="F233">
        <v>8</v>
      </c>
      <c r="G233">
        <v>377.52</v>
      </c>
      <c r="H233">
        <f t="shared" si="3"/>
        <v>3020.16</v>
      </c>
    </row>
    <row r="234" spans="1:8" hidden="1" x14ac:dyDescent="0.25">
      <c r="A234" s="1">
        <v>46255</v>
      </c>
      <c r="B234" t="s">
        <v>16</v>
      </c>
      <c r="C234" t="s">
        <v>34</v>
      </c>
      <c r="D234" t="s">
        <v>24</v>
      </c>
      <c r="E234" t="s">
        <v>38</v>
      </c>
      <c r="F234">
        <v>7</v>
      </c>
      <c r="G234">
        <v>441.72</v>
      </c>
      <c r="H234">
        <f t="shared" si="3"/>
        <v>3092.04</v>
      </c>
    </row>
    <row r="235" spans="1:8" x14ac:dyDescent="0.25">
      <c r="A235" s="1">
        <v>46256</v>
      </c>
      <c r="B235" t="s">
        <v>12</v>
      </c>
      <c r="C235" t="s">
        <v>34</v>
      </c>
      <c r="D235" t="s">
        <v>31</v>
      </c>
      <c r="E235" t="s">
        <v>38</v>
      </c>
      <c r="F235">
        <v>6</v>
      </c>
      <c r="G235">
        <v>427.5</v>
      </c>
      <c r="H235">
        <f t="shared" si="3"/>
        <v>2565</v>
      </c>
    </row>
    <row r="236" spans="1:8" hidden="1" x14ac:dyDescent="0.25">
      <c r="A236" s="1">
        <v>46257</v>
      </c>
      <c r="B236" t="s">
        <v>16</v>
      </c>
      <c r="C236" t="s">
        <v>9</v>
      </c>
      <c r="D236" t="s">
        <v>24</v>
      </c>
      <c r="E236" t="s">
        <v>42</v>
      </c>
      <c r="F236">
        <v>10</v>
      </c>
      <c r="G236">
        <v>246.03</v>
      </c>
      <c r="H236">
        <f t="shared" si="3"/>
        <v>2460.3000000000002</v>
      </c>
    </row>
    <row r="237" spans="1:8" hidden="1" x14ac:dyDescent="0.25">
      <c r="A237" s="1">
        <v>46258</v>
      </c>
      <c r="B237" t="s">
        <v>27</v>
      </c>
      <c r="C237" t="s">
        <v>29</v>
      </c>
      <c r="D237" t="s">
        <v>10</v>
      </c>
      <c r="E237" t="s">
        <v>36</v>
      </c>
      <c r="F237">
        <v>2</v>
      </c>
      <c r="G237">
        <v>843.75</v>
      </c>
      <c r="H237">
        <f t="shared" si="3"/>
        <v>1687.5</v>
      </c>
    </row>
    <row r="238" spans="1:8" hidden="1" x14ac:dyDescent="0.25">
      <c r="A238" s="1">
        <v>46259</v>
      </c>
      <c r="B238" t="s">
        <v>8</v>
      </c>
      <c r="C238" t="s">
        <v>9</v>
      </c>
      <c r="D238" t="s">
        <v>46</v>
      </c>
      <c r="E238" t="s">
        <v>11</v>
      </c>
      <c r="F238">
        <v>2</v>
      </c>
      <c r="G238">
        <v>582.33000000000004</v>
      </c>
      <c r="H238">
        <f t="shared" si="3"/>
        <v>1164.6600000000001</v>
      </c>
    </row>
    <row r="239" spans="1:8" hidden="1" x14ac:dyDescent="0.25">
      <c r="A239" s="1">
        <v>46260</v>
      </c>
      <c r="B239" t="s">
        <v>19</v>
      </c>
      <c r="C239" t="s">
        <v>13</v>
      </c>
      <c r="D239" t="s">
        <v>14</v>
      </c>
      <c r="E239" t="s">
        <v>37</v>
      </c>
      <c r="F239">
        <v>10</v>
      </c>
      <c r="G239">
        <v>1086.06</v>
      </c>
      <c r="H239">
        <f t="shared" si="3"/>
        <v>10860.599999999999</v>
      </c>
    </row>
    <row r="240" spans="1:8" hidden="1" x14ac:dyDescent="0.25">
      <c r="A240" s="1">
        <v>46261</v>
      </c>
      <c r="B240" t="s">
        <v>19</v>
      </c>
      <c r="C240" t="s">
        <v>13</v>
      </c>
      <c r="D240" t="s">
        <v>21</v>
      </c>
      <c r="E240" t="s">
        <v>15</v>
      </c>
      <c r="F240">
        <v>10</v>
      </c>
      <c r="G240">
        <v>314.52999999999997</v>
      </c>
      <c r="H240">
        <f t="shared" si="3"/>
        <v>3145.2999999999997</v>
      </c>
    </row>
    <row r="241" spans="1:8" hidden="1" x14ac:dyDescent="0.25">
      <c r="A241" s="1">
        <v>46262</v>
      </c>
      <c r="B241" t="s">
        <v>27</v>
      </c>
      <c r="C241" t="s">
        <v>20</v>
      </c>
      <c r="D241" t="s">
        <v>31</v>
      </c>
      <c r="E241" t="s">
        <v>39</v>
      </c>
      <c r="F241">
        <v>5</v>
      </c>
      <c r="G241">
        <v>211.01</v>
      </c>
      <c r="H241">
        <f t="shared" si="3"/>
        <v>1055.05</v>
      </c>
    </row>
    <row r="242" spans="1:8" x14ac:dyDescent="0.25">
      <c r="A242" s="1">
        <v>46263</v>
      </c>
      <c r="B242" t="s">
        <v>12</v>
      </c>
      <c r="C242" t="s">
        <v>29</v>
      </c>
      <c r="D242" t="s">
        <v>43</v>
      </c>
      <c r="E242" t="s">
        <v>30</v>
      </c>
      <c r="F242">
        <v>10</v>
      </c>
      <c r="G242">
        <v>812.79</v>
      </c>
      <c r="H242">
        <f t="shared" si="3"/>
        <v>8127.9</v>
      </c>
    </row>
    <row r="243" spans="1:8" hidden="1" x14ac:dyDescent="0.25">
      <c r="A243" s="1">
        <v>46264</v>
      </c>
      <c r="B243" t="s">
        <v>19</v>
      </c>
      <c r="C243" t="s">
        <v>13</v>
      </c>
      <c r="D243" t="s">
        <v>43</v>
      </c>
      <c r="E243" t="s">
        <v>23</v>
      </c>
      <c r="F243">
        <v>1</v>
      </c>
      <c r="G243">
        <v>908.59</v>
      </c>
      <c r="H243">
        <f t="shared" si="3"/>
        <v>908.59</v>
      </c>
    </row>
    <row r="244" spans="1:8" hidden="1" x14ac:dyDescent="0.25">
      <c r="A244" s="1">
        <v>46265</v>
      </c>
      <c r="B244" t="s">
        <v>19</v>
      </c>
      <c r="C244" t="s">
        <v>17</v>
      </c>
      <c r="D244" t="s">
        <v>14</v>
      </c>
      <c r="E244" t="s">
        <v>25</v>
      </c>
      <c r="F244">
        <v>6</v>
      </c>
      <c r="G244">
        <v>403.88</v>
      </c>
      <c r="H244">
        <f t="shared" si="3"/>
        <v>2423.2799999999997</v>
      </c>
    </row>
    <row r="245" spans="1:8" x14ac:dyDescent="0.25">
      <c r="A245" s="1">
        <v>46266</v>
      </c>
      <c r="B245" t="s">
        <v>12</v>
      </c>
      <c r="C245" t="s">
        <v>29</v>
      </c>
      <c r="D245" t="s">
        <v>24</v>
      </c>
      <c r="E245" t="s">
        <v>50</v>
      </c>
      <c r="F245">
        <v>9</v>
      </c>
      <c r="G245">
        <v>278.41000000000003</v>
      </c>
      <c r="H245">
        <f t="shared" si="3"/>
        <v>2505.69</v>
      </c>
    </row>
    <row r="246" spans="1:8" hidden="1" x14ac:dyDescent="0.25">
      <c r="A246" s="1">
        <v>46267</v>
      </c>
      <c r="B246" t="s">
        <v>8</v>
      </c>
      <c r="C246" t="s">
        <v>34</v>
      </c>
      <c r="D246" t="s">
        <v>46</v>
      </c>
      <c r="E246" t="s">
        <v>35</v>
      </c>
      <c r="F246">
        <v>1</v>
      </c>
      <c r="G246">
        <v>26.69</v>
      </c>
      <c r="H246">
        <f t="shared" si="3"/>
        <v>26.69</v>
      </c>
    </row>
    <row r="247" spans="1:8" hidden="1" x14ac:dyDescent="0.25">
      <c r="A247" s="1">
        <v>46268</v>
      </c>
      <c r="B247" t="s">
        <v>8</v>
      </c>
      <c r="C247" t="s">
        <v>17</v>
      </c>
      <c r="D247" t="s">
        <v>41</v>
      </c>
      <c r="E247" t="s">
        <v>18</v>
      </c>
      <c r="F247">
        <v>5</v>
      </c>
      <c r="G247">
        <v>459.1</v>
      </c>
      <c r="H247">
        <f t="shared" si="3"/>
        <v>2295.5</v>
      </c>
    </row>
    <row r="248" spans="1:8" hidden="1" x14ac:dyDescent="0.25">
      <c r="A248" s="1">
        <v>46269</v>
      </c>
      <c r="B248" t="s">
        <v>19</v>
      </c>
      <c r="C248" t="s">
        <v>29</v>
      </c>
      <c r="D248" t="s">
        <v>21</v>
      </c>
      <c r="E248" t="s">
        <v>50</v>
      </c>
      <c r="F248">
        <v>1</v>
      </c>
      <c r="G248">
        <v>953.89</v>
      </c>
      <c r="H248">
        <f t="shared" si="3"/>
        <v>953.89</v>
      </c>
    </row>
    <row r="249" spans="1:8" hidden="1" x14ac:dyDescent="0.25">
      <c r="A249" s="1">
        <v>46270</v>
      </c>
      <c r="B249" t="s">
        <v>19</v>
      </c>
      <c r="C249" t="s">
        <v>29</v>
      </c>
      <c r="D249" t="s">
        <v>31</v>
      </c>
      <c r="E249" t="s">
        <v>36</v>
      </c>
      <c r="F249">
        <v>10</v>
      </c>
      <c r="G249">
        <v>738.82</v>
      </c>
      <c r="H249">
        <f t="shared" si="3"/>
        <v>7388.2000000000007</v>
      </c>
    </row>
    <row r="250" spans="1:8" hidden="1" x14ac:dyDescent="0.25">
      <c r="A250" s="1">
        <v>46271</v>
      </c>
      <c r="B250" t="s">
        <v>8</v>
      </c>
      <c r="C250" t="s">
        <v>13</v>
      </c>
      <c r="D250" t="s">
        <v>24</v>
      </c>
      <c r="E250" t="s">
        <v>37</v>
      </c>
      <c r="F250">
        <v>10</v>
      </c>
      <c r="G250">
        <v>1494.63</v>
      </c>
      <c r="H250">
        <f t="shared" si="3"/>
        <v>14946.300000000001</v>
      </c>
    </row>
    <row r="251" spans="1:8" hidden="1" x14ac:dyDescent="0.25">
      <c r="A251" s="1">
        <v>46272</v>
      </c>
      <c r="B251" t="s">
        <v>19</v>
      </c>
      <c r="C251" t="s">
        <v>34</v>
      </c>
      <c r="D251" t="s">
        <v>31</v>
      </c>
      <c r="E251" t="s">
        <v>55</v>
      </c>
      <c r="F251">
        <v>2</v>
      </c>
      <c r="G251">
        <v>820.7</v>
      </c>
      <c r="H251">
        <f t="shared" si="3"/>
        <v>1641.4</v>
      </c>
    </row>
    <row r="252" spans="1:8" hidden="1" x14ac:dyDescent="0.25">
      <c r="A252" s="1">
        <v>46273</v>
      </c>
      <c r="B252" t="s">
        <v>27</v>
      </c>
      <c r="C252" t="s">
        <v>17</v>
      </c>
      <c r="D252" t="s">
        <v>21</v>
      </c>
      <c r="E252" t="s">
        <v>26</v>
      </c>
      <c r="F252">
        <v>2</v>
      </c>
      <c r="G252">
        <v>116.7</v>
      </c>
      <c r="H252">
        <f t="shared" si="3"/>
        <v>233.4</v>
      </c>
    </row>
    <row r="253" spans="1:8" hidden="1" x14ac:dyDescent="0.25">
      <c r="A253" s="1">
        <v>46274</v>
      </c>
      <c r="B253" t="s">
        <v>8</v>
      </c>
      <c r="C253" t="s">
        <v>29</v>
      </c>
      <c r="D253" t="s">
        <v>41</v>
      </c>
      <c r="E253" t="s">
        <v>54</v>
      </c>
      <c r="F253">
        <v>2</v>
      </c>
      <c r="G253">
        <v>77.150000000000006</v>
      </c>
      <c r="H253">
        <f t="shared" si="3"/>
        <v>154.30000000000001</v>
      </c>
    </row>
    <row r="254" spans="1:8" hidden="1" x14ac:dyDescent="0.25">
      <c r="A254" s="1">
        <v>46275</v>
      </c>
      <c r="B254" t="s">
        <v>27</v>
      </c>
      <c r="C254" t="s">
        <v>29</v>
      </c>
      <c r="D254" t="s">
        <v>10</v>
      </c>
      <c r="E254" t="s">
        <v>36</v>
      </c>
      <c r="F254">
        <v>1</v>
      </c>
      <c r="G254">
        <v>1497.69</v>
      </c>
      <c r="H254">
        <f t="shared" si="3"/>
        <v>1497.69</v>
      </c>
    </row>
    <row r="255" spans="1:8" hidden="1" x14ac:dyDescent="0.25">
      <c r="A255" s="1">
        <v>46276</v>
      </c>
      <c r="B255" t="s">
        <v>16</v>
      </c>
      <c r="C255" t="s">
        <v>13</v>
      </c>
      <c r="D255" t="s">
        <v>24</v>
      </c>
      <c r="E255" t="s">
        <v>51</v>
      </c>
      <c r="F255">
        <v>6</v>
      </c>
      <c r="G255">
        <v>1130.27</v>
      </c>
      <c r="H255">
        <f t="shared" si="3"/>
        <v>6781.62</v>
      </c>
    </row>
    <row r="256" spans="1:8" x14ac:dyDescent="0.25">
      <c r="A256" s="1">
        <v>46277</v>
      </c>
      <c r="B256" t="s">
        <v>12</v>
      </c>
      <c r="C256" t="s">
        <v>34</v>
      </c>
      <c r="D256" t="s">
        <v>24</v>
      </c>
      <c r="E256" t="s">
        <v>35</v>
      </c>
      <c r="F256">
        <v>6</v>
      </c>
      <c r="G256">
        <v>1047.1099999999999</v>
      </c>
      <c r="H256">
        <f t="shared" si="3"/>
        <v>6282.66</v>
      </c>
    </row>
    <row r="257" spans="1:8" hidden="1" x14ac:dyDescent="0.25">
      <c r="A257" s="1">
        <v>46278</v>
      </c>
      <c r="B257" t="s">
        <v>27</v>
      </c>
      <c r="C257" t="s">
        <v>29</v>
      </c>
      <c r="D257" t="s">
        <v>24</v>
      </c>
      <c r="E257" t="s">
        <v>36</v>
      </c>
      <c r="F257">
        <v>10</v>
      </c>
      <c r="G257">
        <v>225.27</v>
      </c>
      <c r="H257">
        <f t="shared" si="3"/>
        <v>2252.7000000000003</v>
      </c>
    </row>
    <row r="258" spans="1:8" hidden="1" x14ac:dyDescent="0.25">
      <c r="A258" s="1">
        <v>46279</v>
      </c>
      <c r="B258" t="s">
        <v>27</v>
      </c>
      <c r="C258" t="s">
        <v>20</v>
      </c>
      <c r="D258" t="s">
        <v>46</v>
      </c>
      <c r="E258" t="s">
        <v>39</v>
      </c>
      <c r="F258">
        <v>1</v>
      </c>
      <c r="G258">
        <v>1162.48</v>
      </c>
      <c r="H258">
        <f t="shared" si="3"/>
        <v>1162.48</v>
      </c>
    </row>
    <row r="259" spans="1:8" hidden="1" x14ac:dyDescent="0.25">
      <c r="A259" s="1">
        <v>46280</v>
      </c>
      <c r="B259" t="s">
        <v>27</v>
      </c>
      <c r="C259" t="s">
        <v>20</v>
      </c>
      <c r="D259" t="s">
        <v>24</v>
      </c>
      <c r="E259" t="s">
        <v>22</v>
      </c>
      <c r="F259">
        <v>3</v>
      </c>
      <c r="G259">
        <v>753.7</v>
      </c>
      <c r="H259">
        <f t="shared" ref="H259:H322" si="4">F259*G259</f>
        <v>2261.1000000000004</v>
      </c>
    </row>
    <row r="260" spans="1:8" hidden="1" x14ac:dyDescent="0.25">
      <c r="A260" s="1">
        <v>46281</v>
      </c>
      <c r="B260" t="s">
        <v>16</v>
      </c>
      <c r="C260" t="s">
        <v>17</v>
      </c>
      <c r="D260" t="s">
        <v>21</v>
      </c>
      <c r="E260" t="s">
        <v>26</v>
      </c>
      <c r="F260">
        <v>5</v>
      </c>
      <c r="G260">
        <v>1422.27</v>
      </c>
      <c r="H260">
        <f t="shared" si="4"/>
        <v>7111.35</v>
      </c>
    </row>
    <row r="261" spans="1:8" hidden="1" x14ac:dyDescent="0.25">
      <c r="A261" s="1">
        <v>46282</v>
      </c>
      <c r="B261" t="s">
        <v>8</v>
      </c>
      <c r="C261" t="s">
        <v>17</v>
      </c>
      <c r="D261" t="s">
        <v>43</v>
      </c>
      <c r="E261" t="s">
        <v>49</v>
      </c>
      <c r="F261">
        <v>4</v>
      </c>
      <c r="G261">
        <v>872.42</v>
      </c>
      <c r="H261">
        <f t="shared" si="4"/>
        <v>3489.68</v>
      </c>
    </row>
    <row r="262" spans="1:8" x14ac:dyDescent="0.25">
      <c r="A262" s="1">
        <v>46283</v>
      </c>
      <c r="B262" t="s">
        <v>12</v>
      </c>
      <c r="C262" t="s">
        <v>13</v>
      </c>
      <c r="D262" t="s">
        <v>31</v>
      </c>
      <c r="E262" t="s">
        <v>40</v>
      </c>
      <c r="F262">
        <v>1</v>
      </c>
      <c r="G262">
        <v>118.62</v>
      </c>
      <c r="H262">
        <f t="shared" si="4"/>
        <v>118.62</v>
      </c>
    </row>
    <row r="263" spans="1:8" x14ac:dyDescent="0.25">
      <c r="A263" s="1">
        <v>46284</v>
      </c>
      <c r="B263" t="s">
        <v>12</v>
      </c>
      <c r="C263" t="s">
        <v>20</v>
      </c>
      <c r="D263" t="s">
        <v>21</v>
      </c>
      <c r="E263" t="s">
        <v>53</v>
      </c>
      <c r="F263">
        <v>1</v>
      </c>
      <c r="G263">
        <v>1457.78</v>
      </c>
      <c r="H263">
        <f t="shared" si="4"/>
        <v>1457.78</v>
      </c>
    </row>
    <row r="264" spans="1:8" hidden="1" x14ac:dyDescent="0.25">
      <c r="A264" s="1">
        <v>46285</v>
      </c>
      <c r="B264" t="s">
        <v>8</v>
      </c>
      <c r="C264" t="s">
        <v>9</v>
      </c>
      <c r="D264" t="s">
        <v>43</v>
      </c>
      <c r="E264" t="s">
        <v>11</v>
      </c>
      <c r="F264">
        <v>9</v>
      </c>
      <c r="G264">
        <v>139.05000000000001</v>
      </c>
      <c r="H264">
        <f t="shared" si="4"/>
        <v>1251.45</v>
      </c>
    </row>
    <row r="265" spans="1:8" x14ac:dyDescent="0.25">
      <c r="A265" s="1">
        <v>46286</v>
      </c>
      <c r="B265" t="s">
        <v>12</v>
      </c>
      <c r="C265" t="s">
        <v>29</v>
      </c>
      <c r="D265" t="s">
        <v>46</v>
      </c>
      <c r="E265" t="s">
        <v>30</v>
      </c>
      <c r="F265">
        <v>4</v>
      </c>
      <c r="G265">
        <v>1459.93</v>
      </c>
      <c r="H265">
        <f t="shared" si="4"/>
        <v>5839.72</v>
      </c>
    </row>
    <row r="266" spans="1:8" hidden="1" x14ac:dyDescent="0.25">
      <c r="A266" s="1">
        <v>46287</v>
      </c>
      <c r="B266" t="s">
        <v>8</v>
      </c>
      <c r="C266" t="s">
        <v>9</v>
      </c>
      <c r="D266" t="s">
        <v>24</v>
      </c>
      <c r="E266" t="s">
        <v>56</v>
      </c>
      <c r="F266">
        <v>7</v>
      </c>
      <c r="G266">
        <v>403.42</v>
      </c>
      <c r="H266">
        <f t="shared" si="4"/>
        <v>2823.94</v>
      </c>
    </row>
    <row r="267" spans="1:8" x14ac:dyDescent="0.25">
      <c r="A267" s="1">
        <v>46288</v>
      </c>
      <c r="B267" t="s">
        <v>12</v>
      </c>
      <c r="C267" t="s">
        <v>13</v>
      </c>
      <c r="D267" t="s">
        <v>43</v>
      </c>
      <c r="E267" t="s">
        <v>37</v>
      </c>
      <c r="F267">
        <v>6</v>
      </c>
      <c r="G267">
        <v>744.9</v>
      </c>
      <c r="H267">
        <f t="shared" si="4"/>
        <v>4469.3999999999996</v>
      </c>
    </row>
    <row r="268" spans="1:8" hidden="1" x14ac:dyDescent="0.25">
      <c r="A268" s="1">
        <v>46289</v>
      </c>
      <c r="B268" t="s">
        <v>8</v>
      </c>
      <c r="C268" t="s">
        <v>9</v>
      </c>
      <c r="D268" t="s">
        <v>24</v>
      </c>
      <c r="E268" t="s">
        <v>42</v>
      </c>
      <c r="F268">
        <v>5</v>
      </c>
      <c r="G268">
        <v>1019.6</v>
      </c>
      <c r="H268">
        <f t="shared" si="4"/>
        <v>5098</v>
      </c>
    </row>
    <row r="269" spans="1:8" hidden="1" x14ac:dyDescent="0.25">
      <c r="A269" s="1">
        <v>46290</v>
      </c>
      <c r="B269" t="s">
        <v>27</v>
      </c>
      <c r="C269" t="s">
        <v>34</v>
      </c>
      <c r="D269" t="s">
        <v>43</v>
      </c>
      <c r="E269" t="s">
        <v>38</v>
      </c>
      <c r="F269">
        <v>9</v>
      </c>
      <c r="G269">
        <v>560.57000000000005</v>
      </c>
      <c r="H269">
        <f t="shared" si="4"/>
        <v>5045.13</v>
      </c>
    </row>
    <row r="270" spans="1:8" hidden="1" x14ac:dyDescent="0.25">
      <c r="A270" s="1">
        <v>46291</v>
      </c>
      <c r="B270" t="s">
        <v>27</v>
      </c>
      <c r="C270" t="s">
        <v>9</v>
      </c>
      <c r="D270" t="s">
        <v>14</v>
      </c>
      <c r="E270" t="s">
        <v>32</v>
      </c>
      <c r="F270">
        <v>4</v>
      </c>
      <c r="G270">
        <v>292.58999999999997</v>
      </c>
      <c r="H270">
        <f t="shared" si="4"/>
        <v>1170.3599999999999</v>
      </c>
    </row>
    <row r="271" spans="1:8" hidden="1" x14ac:dyDescent="0.25">
      <c r="A271" s="1">
        <v>46292</v>
      </c>
      <c r="B271" t="s">
        <v>8</v>
      </c>
      <c r="C271" t="s">
        <v>17</v>
      </c>
      <c r="D271" t="s">
        <v>10</v>
      </c>
      <c r="E271" t="s">
        <v>49</v>
      </c>
      <c r="F271">
        <v>1</v>
      </c>
      <c r="G271">
        <v>1378.39</v>
      </c>
      <c r="H271">
        <f t="shared" si="4"/>
        <v>1378.39</v>
      </c>
    </row>
    <row r="272" spans="1:8" hidden="1" x14ac:dyDescent="0.25">
      <c r="A272" s="1">
        <v>46293</v>
      </c>
      <c r="B272" t="s">
        <v>8</v>
      </c>
      <c r="C272" t="s">
        <v>20</v>
      </c>
      <c r="D272" t="s">
        <v>21</v>
      </c>
      <c r="E272" t="s">
        <v>28</v>
      </c>
      <c r="F272">
        <v>5</v>
      </c>
      <c r="G272">
        <v>777.25</v>
      </c>
      <c r="H272">
        <f t="shared" si="4"/>
        <v>3886.25</v>
      </c>
    </row>
    <row r="273" spans="1:8" hidden="1" x14ac:dyDescent="0.25">
      <c r="A273" s="1">
        <v>46294</v>
      </c>
      <c r="B273" t="s">
        <v>8</v>
      </c>
      <c r="C273" t="s">
        <v>17</v>
      </c>
      <c r="D273" t="s">
        <v>46</v>
      </c>
      <c r="E273" t="s">
        <v>48</v>
      </c>
      <c r="F273">
        <v>5</v>
      </c>
      <c r="G273">
        <v>301.14</v>
      </c>
      <c r="H273">
        <f t="shared" si="4"/>
        <v>1505.6999999999998</v>
      </c>
    </row>
    <row r="274" spans="1:8" hidden="1" x14ac:dyDescent="0.25">
      <c r="A274" s="1">
        <v>46295</v>
      </c>
      <c r="B274" t="s">
        <v>27</v>
      </c>
      <c r="C274" t="s">
        <v>34</v>
      </c>
      <c r="D274" t="s">
        <v>10</v>
      </c>
      <c r="E274" t="s">
        <v>38</v>
      </c>
      <c r="F274">
        <v>4</v>
      </c>
      <c r="G274">
        <v>481.84</v>
      </c>
      <c r="H274">
        <f t="shared" si="4"/>
        <v>1927.36</v>
      </c>
    </row>
    <row r="275" spans="1:8" hidden="1" x14ac:dyDescent="0.25">
      <c r="A275" s="1">
        <v>46296</v>
      </c>
      <c r="B275" t="s">
        <v>19</v>
      </c>
      <c r="C275" t="s">
        <v>34</v>
      </c>
      <c r="D275" t="s">
        <v>43</v>
      </c>
      <c r="E275" t="s">
        <v>47</v>
      </c>
      <c r="F275">
        <v>6</v>
      </c>
      <c r="G275">
        <v>1156.1199999999999</v>
      </c>
      <c r="H275">
        <f t="shared" si="4"/>
        <v>6936.7199999999993</v>
      </c>
    </row>
    <row r="276" spans="1:8" x14ac:dyDescent="0.25">
      <c r="A276" s="1">
        <v>46297</v>
      </c>
      <c r="B276" t="s">
        <v>12</v>
      </c>
      <c r="C276" t="s">
        <v>34</v>
      </c>
      <c r="D276" t="s">
        <v>24</v>
      </c>
      <c r="E276" t="s">
        <v>38</v>
      </c>
      <c r="F276">
        <v>1</v>
      </c>
      <c r="G276">
        <v>1304.03</v>
      </c>
      <c r="H276">
        <f t="shared" si="4"/>
        <v>1304.03</v>
      </c>
    </row>
    <row r="277" spans="1:8" hidden="1" x14ac:dyDescent="0.25">
      <c r="A277" s="1">
        <v>46298</v>
      </c>
      <c r="B277" t="s">
        <v>8</v>
      </c>
      <c r="C277" t="s">
        <v>13</v>
      </c>
      <c r="D277" t="s">
        <v>31</v>
      </c>
      <c r="E277" t="s">
        <v>15</v>
      </c>
      <c r="F277">
        <v>8</v>
      </c>
      <c r="G277">
        <v>148.93</v>
      </c>
      <c r="H277">
        <f t="shared" si="4"/>
        <v>1191.44</v>
      </c>
    </row>
    <row r="278" spans="1:8" x14ac:dyDescent="0.25">
      <c r="A278" s="1">
        <v>46299</v>
      </c>
      <c r="B278" t="s">
        <v>12</v>
      </c>
      <c r="C278" t="s">
        <v>13</v>
      </c>
      <c r="D278" t="s">
        <v>24</v>
      </c>
      <c r="E278" t="s">
        <v>23</v>
      </c>
      <c r="F278">
        <v>2</v>
      </c>
      <c r="G278">
        <v>1263</v>
      </c>
      <c r="H278">
        <f t="shared" si="4"/>
        <v>2526</v>
      </c>
    </row>
    <row r="279" spans="1:8" hidden="1" x14ac:dyDescent="0.25">
      <c r="A279" s="1">
        <v>46300</v>
      </c>
      <c r="B279" t="s">
        <v>8</v>
      </c>
      <c r="C279" t="s">
        <v>29</v>
      </c>
      <c r="D279" t="s">
        <v>46</v>
      </c>
      <c r="E279" t="s">
        <v>36</v>
      </c>
      <c r="F279">
        <v>8</v>
      </c>
      <c r="G279">
        <v>369.92</v>
      </c>
      <c r="H279">
        <f t="shared" si="4"/>
        <v>2959.36</v>
      </c>
    </row>
    <row r="280" spans="1:8" hidden="1" x14ac:dyDescent="0.25">
      <c r="A280" s="1">
        <v>46301</v>
      </c>
      <c r="B280" t="s">
        <v>19</v>
      </c>
      <c r="C280" t="s">
        <v>17</v>
      </c>
      <c r="D280" t="s">
        <v>31</v>
      </c>
      <c r="E280" t="s">
        <v>25</v>
      </c>
      <c r="F280">
        <v>1</v>
      </c>
      <c r="G280">
        <v>936.18</v>
      </c>
      <c r="H280">
        <f t="shared" si="4"/>
        <v>936.18</v>
      </c>
    </row>
    <row r="281" spans="1:8" hidden="1" x14ac:dyDescent="0.25">
      <c r="A281" s="1">
        <v>46302</v>
      </c>
      <c r="B281" t="s">
        <v>19</v>
      </c>
      <c r="C281" t="s">
        <v>20</v>
      </c>
      <c r="D281" t="s">
        <v>46</v>
      </c>
      <c r="E281" t="s">
        <v>53</v>
      </c>
      <c r="F281">
        <v>4</v>
      </c>
      <c r="G281">
        <v>1462.34</v>
      </c>
      <c r="H281">
        <f t="shared" si="4"/>
        <v>5849.36</v>
      </c>
    </row>
    <row r="282" spans="1:8" hidden="1" x14ac:dyDescent="0.25">
      <c r="A282" s="1">
        <v>46303</v>
      </c>
      <c r="B282" t="s">
        <v>16</v>
      </c>
      <c r="C282" t="s">
        <v>13</v>
      </c>
      <c r="D282" t="s">
        <v>24</v>
      </c>
      <c r="E282" t="s">
        <v>37</v>
      </c>
      <c r="F282">
        <v>8</v>
      </c>
      <c r="G282">
        <v>1428.76</v>
      </c>
      <c r="H282">
        <f t="shared" si="4"/>
        <v>11430.08</v>
      </c>
    </row>
    <row r="283" spans="1:8" hidden="1" x14ac:dyDescent="0.25">
      <c r="A283" s="1">
        <v>46304</v>
      </c>
      <c r="B283" t="s">
        <v>27</v>
      </c>
      <c r="C283" t="s">
        <v>17</v>
      </c>
      <c r="D283" t="s">
        <v>31</v>
      </c>
      <c r="E283" t="s">
        <v>49</v>
      </c>
      <c r="F283">
        <v>7</v>
      </c>
      <c r="G283">
        <v>26.81</v>
      </c>
      <c r="H283">
        <f t="shared" si="4"/>
        <v>187.67</v>
      </c>
    </row>
    <row r="284" spans="1:8" hidden="1" x14ac:dyDescent="0.25">
      <c r="A284" s="1">
        <v>46305</v>
      </c>
      <c r="B284" t="s">
        <v>27</v>
      </c>
      <c r="C284" t="s">
        <v>13</v>
      </c>
      <c r="D284" t="s">
        <v>10</v>
      </c>
      <c r="E284" t="s">
        <v>23</v>
      </c>
      <c r="F284">
        <v>6</v>
      </c>
      <c r="G284">
        <v>135.47</v>
      </c>
      <c r="H284">
        <f t="shared" si="4"/>
        <v>812.81999999999994</v>
      </c>
    </row>
    <row r="285" spans="1:8" hidden="1" x14ac:dyDescent="0.25">
      <c r="A285" s="1">
        <v>46306</v>
      </c>
      <c r="B285" t="s">
        <v>27</v>
      </c>
      <c r="C285" t="s">
        <v>9</v>
      </c>
      <c r="D285" t="s">
        <v>10</v>
      </c>
      <c r="E285" t="s">
        <v>42</v>
      </c>
      <c r="F285">
        <v>2</v>
      </c>
      <c r="G285">
        <v>35.22</v>
      </c>
      <c r="H285">
        <f t="shared" si="4"/>
        <v>70.44</v>
      </c>
    </row>
    <row r="286" spans="1:8" hidden="1" x14ac:dyDescent="0.25">
      <c r="A286" s="1">
        <v>46307</v>
      </c>
      <c r="B286" t="s">
        <v>16</v>
      </c>
      <c r="C286" t="s">
        <v>9</v>
      </c>
      <c r="D286" t="s">
        <v>24</v>
      </c>
      <c r="E286" t="s">
        <v>11</v>
      </c>
      <c r="F286">
        <v>5</v>
      </c>
      <c r="G286">
        <v>1340.6</v>
      </c>
      <c r="H286">
        <f t="shared" si="4"/>
        <v>6703</v>
      </c>
    </row>
    <row r="287" spans="1:8" hidden="1" x14ac:dyDescent="0.25">
      <c r="A287" s="1">
        <v>46308</v>
      </c>
      <c r="B287" t="s">
        <v>19</v>
      </c>
      <c r="C287" t="s">
        <v>29</v>
      </c>
      <c r="D287" t="s">
        <v>24</v>
      </c>
      <c r="E287" t="s">
        <v>45</v>
      </c>
      <c r="F287">
        <v>4</v>
      </c>
      <c r="G287">
        <v>1134.7</v>
      </c>
      <c r="H287">
        <f t="shared" si="4"/>
        <v>4538.8</v>
      </c>
    </row>
    <row r="288" spans="1:8" hidden="1" x14ac:dyDescent="0.25">
      <c r="A288" s="1">
        <v>46309</v>
      </c>
      <c r="B288" t="s">
        <v>16</v>
      </c>
      <c r="C288" t="s">
        <v>20</v>
      </c>
      <c r="D288" t="s">
        <v>31</v>
      </c>
      <c r="E288" t="s">
        <v>52</v>
      </c>
      <c r="F288">
        <v>3</v>
      </c>
      <c r="G288">
        <v>197.93</v>
      </c>
      <c r="H288">
        <f t="shared" si="4"/>
        <v>593.79</v>
      </c>
    </row>
    <row r="289" spans="1:8" x14ac:dyDescent="0.25">
      <c r="A289" s="1">
        <v>46310</v>
      </c>
      <c r="B289" t="s">
        <v>12</v>
      </c>
      <c r="C289" t="s">
        <v>29</v>
      </c>
      <c r="D289" t="s">
        <v>46</v>
      </c>
      <c r="E289" t="s">
        <v>30</v>
      </c>
      <c r="F289">
        <v>1</v>
      </c>
      <c r="G289">
        <v>985.28</v>
      </c>
      <c r="H289">
        <f t="shared" si="4"/>
        <v>985.28</v>
      </c>
    </row>
    <row r="290" spans="1:8" hidden="1" x14ac:dyDescent="0.25">
      <c r="A290" s="1">
        <v>46311</v>
      </c>
      <c r="B290" t="s">
        <v>27</v>
      </c>
      <c r="C290" t="s">
        <v>20</v>
      </c>
      <c r="D290" t="s">
        <v>14</v>
      </c>
      <c r="E290" t="s">
        <v>52</v>
      </c>
      <c r="F290">
        <v>10</v>
      </c>
      <c r="G290">
        <v>184.06</v>
      </c>
      <c r="H290">
        <f t="shared" si="4"/>
        <v>1840.6</v>
      </c>
    </row>
    <row r="291" spans="1:8" hidden="1" x14ac:dyDescent="0.25">
      <c r="A291" s="1">
        <v>46312</v>
      </c>
      <c r="B291" t="s">
        <v>16</v>
      </c>
      <c r="C291" t="s">
        <v>17</v>
      </c>
      <c r="D291" t="s">
        <v>24</v>
      </c>
      <c r="E291" t="s">
        <v>48</v>
      </c>
      <c r="F291">
        <v>4</v>
      </c>
      <c r="G291">
        <v>376.53</v>
      </c>
      <c r="H291">
        <f t="shared" si="4"/>
        <v>1506.12</v>
      </c>
    </row>
    <row r="292" spans="1:8" hidden="1" x14ac:dyDescent="0.25">
      <c r="A292" s="1">
        <v>46313</v>
      </c>
      <c r="B292" t="s">
        <v>16</v>
      </c>
      <c r="C292" t="s">
        <v>29</v>
      </c>
      <c r="D292" t="s">
        <v>10</v>
      </c>
      <c r="E292" t="s">
        <v>50</v>
      </c>
      <c r="F292">
        <v>5</v>
      </c>
      <c r="G292">
        <v>965.35</v>
      </c>
      <c r="H292">
        <f t="shared" si="4"/>
        <v>4826.75</v>
      </c>
    </row>
    <row r="293" spans="1:8" x14ac:dyDescent="0.25">
      <c r="A293" s="1">
        <v>46314</v>
      </c>
      <c r="B293" t="s">
        <v>12</v>
      </c>
      <c r="C293" t="s">
        <v>9</v>
      </c>
      <c r="D293" t="s">
        <v>14</v>
      </c>
      <c r="E293" t="s">
        <v>11</v>
      </c>
      <c r="F293">
        <v>3</v>
      </c>
      <c r="G293">
        <v>953.35</v>
      </c>
      <c r="H293">
        <f t="shared" si="4"/>
        <v>2860.05</v>
      </c>
    </row>
    <row r="294" spans="1:8" hidden="1" x14ac:dyDescent="0.25">
      <c r="A294" s="1">
        <v>46315</v>
      </c>
      <c r="B294" t="s">
        <v>27</v>
      </c>
      <c r="C294" t="s">
        <v>20</v>
      </c>
      <c r="D294" t="s">
        <v>24</v>
      </c>
      <c r="E294" t="s">
        <v>53</v>
      </c>
      <c r="F294">
        <v>10</v>
      </c>
      <c r="G294">
        <v>946.62</v>
      </c>
      <c r="H294">
        <f t="shared" si="4"/>
        <v>9466.2000000000007</v>
      </c>
    </row>
    <row r="295" spans="1:8" hidden="1" x14ac:dyDescent="0.25">
      <c r="A295" s="1">
        <v>46316</v>
      </c>
      <c r="B295" t="s">
        <v>8</v>
      </c>
      <c r="C295" t="s">
        <v>9</v>
      </c>
      <c r="D295" t="s">
        <v>46</v>
      </c>
      <c r="E295" t="s">
        <v>11</v>
      </c>
      <c r="F295">
        <v>8</v>
      </c>
      <c r="G295">
        <v>1498.02</v>
      </c>
      <c r="H295">
        <f t="shared" si="4"/>
        <v>11984.16</v>
      </c>
    </row>
    <row r="296" spans="1:8" hidden="1" x14ac:dyDescent="0.25">
      <c r="A296" s="1">
        <v>46317</v>
      </c>
      <c r="B296" t="s">
        <v>16</v>
      </c>
      <c r="C296" t="s">
        <v>9</v>
      </c>
      <c r="D296" t="s">
        <v>21</v>
      </c>
      <c r="E296" t="s">
        <v>33</v>
      </c>
      <c r="F296">
        <v>9</v>
      </c>
      <c r="G296">
        <v>884.23</v>
      </c>
      <c r="H296">
        <f t="shared" si="4"/>
        <v>7958.07</v>
      </c>
    </row>
    <row r="297" spans="1:8" hidden="1" x14ac:dyDescent="0.25">
      <c r="A297" s="1">
        <v>46318</v>
      </c>
      <c r="B297" t="s">
        <v>27</v>
      </c>
      <c r="C297" t="s">
        <v>9</v>
      </c>
      <c r="D297" t="s">
        <v>10</v>
      </c>
      <c r="E297" t="s">
        <v>33</v>
      </c>
      <c r="F297">
        <v>3</v>
      </c>
      <c r="G297">
        <v>681.19</v>
      </c>
      <c r="H297">
        <f t="shared" si="4"/>
        <v>2043.5700000000002</v>
      </c>
    </row>
    <row r="298" spans="1:8" hidden="1" x14ac:dyDescent="0.25">
      <c r="A298" s="1">
        <v>46319</v>
      </c>
      <c r="B298" t="s">
        <v>19</v>
      </c>
      <c r="C298" t="s">
        <v>9</v>
      </c>
      <c r="D298" t="s">
        <v>14</v>
      </c>
      <c r="E298" t="s">
        <v>32</v>
      </c>
      <c r="F298">
        <v>2</v>
      </c>
      <c r="G298">
        <v>865.68</v>
      </c>
      <c r="H298">
        <f t="shared" si="4"/>
        <v>1731.36</v>
      </c>
    </row>
    <row r="299" spans="1:8" hidden="1" x14ac:dyDescent="0.25">
      <c r="A299" s="1">
        <v>46320</v>
      </c>
      <c r="B299" t="s">
        <v>19</v>
      </c>
      <c r="C299" t="s">
        <v>13</v>
      </c>
      <c r="D299" t="s">
        <v>43</v>
      </c>
      <c r="E299" t="s">
        <v>40</v>
      </c>
      <c r="F299">
        <v>5</v>
      </c>
      <c r="G299">
        <v>855.02</v>
      </c>
      <c r="H299">
        <f t="shared" si="4"/>
        <v>4275.1000000000004</v>
      </c>
    </row>
    <row r="300" spans="1:8" hidden="1" x14ac:dyDescent="0.25">
      <c r="A300" s="1">
        <v>46321</v>
      </c>
      <c r="B300" t="s">
        <v>16</v>
      </c>
      <c r="C300" t="s">
        <v>17</v>
      </c>
      <c r="D300" t="s">
        <v>24</v>
      </c>
      <c r="E300" t="s">
        <v>26</v>
      </c>
      <c r="F300">
        <v>9</v>
      </c>
      <c r="G300">
        <v>1466.86</v>
      </c>
      <c r="H300">
        <f t="shared" si="4"/>
        <v>13201.74</v>
      </c>
    </row>
    <row r="301" spans="1:8" hidden="1" x14ac:dyDescent="0.25">
      <c r="A301" s="1">
        <v>46322</v>
      </c>
      <c r="B301" t="s">
        <v>19</v>
      </c>
      <c r="C301" t="s">
        <v>13</v>
      </c>
      <c r="D301" t="s">
        <v>10</v>
      </c>
      <c r="E301" t="s">
        <v>23</v>
      </c>
      <c r="F301">
        <v>4</v>
      </c>
      <c r="G301">
        <v>331.14</v>
      </c>
      <c r="H301">
        <f t="shared" si="4"/>
        <v>1324.56</v>
      </c>
    </row>
    <row r="302" spans="1:8" hidden="1" x14ac:dyDescent="0.25">
      <c r="A302" s="1">
        <v>46323</v>
      </c>
      <c r="B302" t="s">
        <v>19</v>
      </c>
      <c r="C302" t="s">
        <v>9</v>
      </c>
      <c r="D302" t="s">
        <v>41</v>
      </c>
      <c r="E302" t="s">
        <v>56</v>
      </c>
      <c r="F302">
        <v>10</v>
      </c>
      <c r="G302">
        <v>1463.98</v>
      </c>
      <c r="H302">
        <f t="shared" si="4"/>
        <v>14639.8</v>
      </c>
    </row>
    <row r="303" spans="1:8" hidden="1" x14ac:dyDescent="0.25">
      <c r="A303" s="1">
        <v>46324</v>
      </c>
      <c r="B303" t="s">
        <v>19</v>
      </c>
      <c r="C303" t="s">
        <v>20</v>
      </c>
      <c r="D303" t="s">
        <v>41</v>
      </c>
      <c r="E303" t="s">
        <v>53</v>
      </c>
      <c r="F303">
        <v>3</v>
      </c>
      <c r="G303">
        <v>60.32</v>
      </c>
      <c r="H303">
        <f t="shared" si="4"/>
        <v>180.96</v>
      </c>
    </row>
    <row r="304" spans="1:8" hidden="1" x14ac:dyDescent="0.25">
      <c r="A304" s="1">
        <v>46325</v>
      </c>
      <c r="B304" t="s">
        <v>8</v>
      </c>
      <c r="C304" t="s">
        <v>20</v>
      </c>
      <c r="D304" t="s">
        <v>46</v>
      </c>
      <c r="E304" t="s">
        <v>22</v>
      </c>
      <c r="F304">
        <v>2</v>
      </c>
      <c r="G304">
        <v>929.4</v>
      </c>
      <c r="H304">
        <f t="shared" si="4"/>
        <v>1858.8</v>
      </c>
    </row>
    <row r="305" spans="1:8" hidden="1" x14ac:dyDescent="0.25">
      <c r="A305" s="1">
        <v>46326</v>
      </c>
      <c r="B305" t="s">
        <v>8</v>
      </c>
      <c r="C305" t="s">
        <v>29</v>
      </c>
      <c r="D305" t="s">
        <v>10</v>
      </c>
      <c r="E305" t="s">
        <v>45</v>
      </c>
      <c r="F305">
        <v>6</v>
      </c>
      <c r="G305">
        <v>165.13</v>
      </c>
      <c r="H305">
        <f t="shared" si="4"/>
        <v>990.78</v>
      </c>
    </row>
    <row r="306" spans="1:8" hidden="1" x14ac:dyDescent="0.25">
      <c r="A306" s="1">
        <v>46327</v>
      </c>
      <c r="B306" t="s">
        <v>19</v>
      </c>
      <c r="C306" t="s">
        <v>13</v>
      </c>
      <c r="D306" t="s">
        <v>10</v>
      </c>
      <c r="E306" t="s">
        <v>15</v>
      </c>
      <c r="F306">
        <v>8</v>
      </c>
      <c r="G306">
        <v>508.6</v>
      </c>
      <c r="H306">
        <f t="shared" si="4"/>
        <v>4068.8</v>
      </c>
    </row>
    <row r="307" spans="1:8" hidden="1" x14ac:dyDescent="0.25">
      <c r="A307" s="1">
        <v>46328</v>
      </c>
      <c r="B307" t="s">
        <v>16</v>
      </c>
      <c r="C307" t="s">
        <v>34</v>
      </c>
      <c r="D307" t="s">
        <v>24</v>
      </c>
      <c r="E307" t="s">
        <v>47</v>
      </c>
      <c r="F307">
        <v>3</v>
      </c>
      <c r="G307">
        <v>387.97</v>
      </c>
      <c r="H307">
        <f t="shared" si="4"/>
        <v>1163.9100000000001</v>
      </c>
    </row>
    <row r="308" spans="1:8" hidden="1" x14ac:dyDescent="0.25">
      <c r="A308" s="1">
        <v>46329</v>
      </c>
      <c r="B308" t="s">
        <v>8</v>
      </c>
      <c r="C308" t="s">
        <v>34</v>
      </c>
      <c r="D308" t="s">
        <v>21</v>
      </c>
      <c r="E308" t="s">
        <v>35</v>
      </c>
      <c r="F308">
        <v>2</v>
      </c>
      <c r="G308">
        <v>630.07000000000005</v>
      </c>
      <c r="H308">
        <f t="shared" si="4"/>
        <v>1260.1400000000001</v>
      </c>
    </row>
    <row r="309" spans="1:8" hidden="1" x14ac:dyDescent="0.25">
      <c r="A309" s="1">
        <v>46330</v>
      </c>
      <c r="B309" t="s">
        <v>8</v>
      </c>
      <c r="C309" t="s">
        <v>13</v>
      </c>
      <c r="D309" t="s">
        <v>46</v>
      </c>
      <c r="E309" t="s">
        <v>51</v>
      </c>
      <c r="F309">
        <v>2</v>
      </c>
      <c r="G309">
        <v>1022.56</v>
      </c>
      <c r="H309">
        <f t="shared" si="4"/>
        <v>2045.12</v>
      </c>
    </row>
    <row r="310" spans="1:8" hidden="1" x14ac:dyDescent="0.25">
      <c r="A310" s="1">
        <v>46331</v>
      </c>
      <c r="B310" t="s">
        <v>8</v>
      </c>
      <c r="C310" t="s">
        <v>9</v>
      </c>
      <c r="D310" t="s">
        <v>46</v>
      </c>
      <c r="E310" t="s">
        <v>11</v>
      </c>
      <c r="F310">
        <v>10</v>
      </c>
      <c r="G310">
        <v>1250.3399999999999</v>
      </c>
      <c r="H310">
        <f t="shared" si="4"/>
        <v>12503.4</v>
      </c>
    </row>
    <row r="311" spans="1:8" x14ac:dyDescent="0.25">
      <c r="A311" s="1">
        <v>46332</v>
      </c>
      <c r="B311" t="s">
        <v>12</v>
      </c>
      <c r="C311" t="s">
        <v>13</v>
      </c>
      <c r="D311" t="s">
        <v>31</v>
      </c>
      <c r="E311" t="s">
        <v>15</v>
      </c>
      <c r="F311">
        <v>1</v>
      </c>
      <c r="G311">
        <v>478.67</v>
      </c>
      <c r="H311">
        <f t="shared" si="4"/>
        <v>478.67</v>
      </c>
    </row>
    <row r="312" spans="1:8" hidden="1" x14ac:dyDescent="0.25">
      <c r="A312" s="1">
        <v>46333</v>
      </c>
      <c r="B312" t="s">
        <v>27</v>
      </c>
      <c r="C312" t="s">
        <v>13</v>
      </c>
      <c r="D312" t="s">
        <v>14</v>
      </c>
      <c r="E312" t="s">
        <v>51</v>
      </c>
      <c r="F312">
        <v>10</v>
      </c>
      <c r="G312">
        <v>827.61</v>
      </c>
      <c r="H312">
        <f t="shared" si="4"/>
        <v>8276.1</v>
      </c>
    </row>
    <row r="313" spans="1:8" x14ac:dyDescent="0.25">
      <c r="A313" s="1">
        <v>46334</v>
      </c>
      <c r="B313" t="s">
        <v>12</v>
      </c>
      <c r="C313" t="s">
        <v>29</v>
      </c>
      <c r="D313" t="s">
        <v>24</v>
      </c>
      <c r="E313" t="s">
        <v>36</v>
      </c>
      <c r="F313">
        <v>8</v>
      </c>
      <c r="G313">
        <v>879.9</v>
      </c>
      <c r="H313">
        <f t="shared" si="4"/>
        <v>7039.2</v>
      </c>
    </row>
    <row r="314" spans="1:8" x14ac:dyDescent="0.25">
      <c r="A314" s="1">
        <v>46335</v>
      </c>
      <c r="B314" t="s">
        <v>12</v>
      </c>
      <c r="C314" t="s">
        <v>34</v>
      </c>
      <c r="D314" t="s">
        <v>10</v>
      </c>
      <c r="E314" t="s">
        <v>38</v>
      </c>
      <c r="F314">
        <v>3</v>
      </c>
      <c r="G314">
        <v>1145.06</v>
      </c>
      <c r="H314">
        <f t="shared" si="4"/>
        <v>3435.18</v>
      </c>
    </row>
    <row r="315" spans="1:8" hidden="1" x14ac:dyDescent="0.25">
      <c r="A315" s="1">
        <v>46336</v>
      </c>
      <c r="B315" t="s">
        <v>19</v>
      </c>
      <c r="C315" t="s">
        <v>13</v>
      </c>
      <c r="D315" t="s">
        <v>24</v>
      </c>
      <c r="E315" t="s">
        <v>15</v>
      </c>
      <c r="F315">
        <v>5</v>
      </c>
      <c r="G315">
        <v>1231.25</v>
      </c>
      <c r="H315">
        <f t="shared" si="4"/>
        <v>6156.25</v>
      </c>
    </row>
    <row r="316" spans="1:8" hidden="1" x14ac:dyDescent="0.25">
      <c r="A316" s="1">
        <v>46337</v>
      </c>
      <c r="B316" t="s">
        <v>16</v>
      </c>
      <c r="C316" t="s">
        <v>20</v>
      </c>
      <c r="D316" t="s">
        <v>31</v>
      </c>
      <c r="E316" t="s">
        <v>22</v>
      </c>
      <c r="F316">
        <v>6</v>
      </c>
      <c r="G316">
        <v>1214.6099999999999</v>
      </c>
      <c r="H316">
        <f t="shared" si="4"/>
        <v>7287.66</v>
      </c>
    </row>
    <row r="317" spans="1:8" hidden="1" x14ac:dyDescent="0.25">
      <c r="A317" s="1">
        <v>46338</v>
      </c>
      <c r="B317" t="s">
        <v>27</v>
      </c>
      <c r="C317" t="s">
        <v>9</v>
      </c>
      <c r="D317" t="s">
        <v>43</v>
      </c>
      <c r="E317" t="s">
        <v>56</v>
      </c>
      <c r="F317">
        <v>1</v>
      </c>
      <c r="G317">
        <v>1285.77</v>
      </c>
      <c r="H317">
        <f t="shared" si="4"/>
        <v>1285.77</v>
      </c>
    </row>
    <row r="318" spans="1:8" hidden="1" x14ac:dyDescent="0.25">
      <c r="A318" s="1">
        <v>46339</v>
      </c>
      <c r="B318" t="s">
        <v>16</v>
      </c>
      <c r="C318" t="s">
        <v>17</v>
      </c>
      <c r="D318" t="s">
        <v>14</v>
      </c>
      <c r="E318" t="s">
        <v>25</v>
      </c>
      <c r="F318">
        <v>1</v>
      </c>
      <c r="G318">
        <v>1104.24</v>
      </c>
      <c r="H318">
        <f t="shared" si="4"/>
        <v>1104.24</v>
      </c>
    </row>
    <row r="319" spans="1:8" hidden="1" x14ac:dyDescent="0.25">
      <c r="A319" s="1">
        <v>46340</v>
      </c>
      <c r="B319" t="s">
        <v>16</v>
      </c>
      <c r="C319" t="s">
        <v>13</v>
      </c>
      <c r="D319" t="s">
        <v>21</v>
      </c>
      <c r="E319" t="s">
        <v>15</v>
      </c>
      <c r="F319">
        <v>9</v>
      </c>
      <c r="G319">
        <v>1205.3599999999999</v>
      </c>
      <c r="H319">
        <f t="shared" si="4"/>
        <v>10848.24</v>
      </c>
    </row>
    <row r="320" spans="1:8" hidden="1" x14ac:dyDescent="0.25">
      <c r="A320" s="1">
        <v>46341</v>
      </c>
      <c r="B320" t="s">
        <v>16</v>
      </c>
      <c r="C320" t="s">
        <v>34</v>
      </c>
      <c r="D320" t="s">
        <v>31</v>
      </c>
      <c r="E320" t="s">
        <v>44</v>
      </c>
      <c r="F320">
        <v>7</v>
      </c>
      <c r="G320">
        <v>1191.9100000000001</v>
      </c>
      <c r="H320">
        <f t="shared" si="4"/>
        <v>8343.3700000000008</v>
      </c>
    </row>
    <row r="321" spans="1:8" hidden="1" x14ac:dyDescent="0.25">
      <c r="A321" s="1">
        <v>46342</v>
      </c>
      <c r="B321" t="s">
        <v>27</v>
      </c>
      <c r="C321" t="s">
        <v>13</v>
      </c>
      <c r="D321" t="s">
        <v>41</v>
      </c>
      <c r="E321" t="s">
        <v>40</v>
      </c>
      <c r="F321">
        <v>2</v>
      </c>
      <c r="G321">
        <v>123.42</v>
      </c>
      <c r="H321">
        <f t="shared" si="4"/>
        <v>246.84</v>
      </c>
    </row>
    <row r="322" spans="1:8" x14ac:dyDescent="0.25">
      <c r="A322" s="1">
        <v>46343</v>
      </c>
      <c r="B322" t="s">
        <v>12</v>
      </c>
      <c r="C322" t="s">
        <v>20</v>
      </c>
      <c r="D322" t="s">
        <v>31</v>
      </c>
      <c r="E322" t="s">
        <v>53</v>
      </c>
      <c r="F322">
        <v>1</v>
      </c>
      <c r="G322">
        <v>545.12</v>
      </c>
      <c r="H322">
        <f t="shared" si="4"/>
        <v>545.12</v>
      </c>
    </row>
    <row r="323" spans="1:8" hidden="1" x14ac:dyDescent="0.25">
      <c r="A323" s="1">
        <v>46344</v>
      </c>
      <c r="B323" t="s">
        <v>8</v>
      </c>
      <c r="C323" t="s">
        <v>17</v>
      </c>
      <c r="D323" t="s">
        <v>24</v>
      </c>
      <c r="E323" t="s">
        <v>49</v>
      </c>
      <c r="F323">
        <v>2</v>
      </c>
      <c r="G323">
        <v>864.25</v>
      </c>
      <c r="H323">
        <f t="shared" ref="H323:H386" si="5">F323*G323</f>
        <v>1728.5</v>
      </c>
    </row>
    <row r="324" spans="1:8" hidden="1" x14ac:dyDescent="0.25">
      <c r="A324" s="1">
        <v>46345</v>
      </c>
      <c r="B324" t="s">
        <v>27</v>
      </c>
      <c r="C324" t="s">
        <v>13</v>
      </c>
      <c r="D324" t="s">
        <v>41</v>
      </c>
      <c r="E324" t="s">
        <v>51</v>
      </c>
      <c r="F324">
        <v>5</v>
      </c>
      <c r="G324">
        <v>976.56</v>
      </c>
      <c r="H324">
        <f t="shared" si="5"/>
        <v>4882.7999999999993</v>
      </c>
    </row>
    <row r="325" spans="1:8" hidden="1" x14ac:dyDescent="0.25">
      <c r="A325" s="1">
        <v>46346</v>
      </c>
      <c r="B325" t="s">
        <v>8</v>
      </c>
      <c r="C325" t="s">
        <v>13</v>
      </c>
      <c r="D325" t="s">
        <v>24</v>
      </c>
      <c r="E325" t="s">
        <v>51</v>
      </c>
      <c r="F325">
        <v>5</v>
      </c>
      <c r="G325">
        <v>247.42</v>
      </c>
      <c r="H325">
        <f t="shared" si="5"/>
        <v>1237.0999999999999</v>
      </c>
    </row>
    <row r="326" spans="1:8" x14ac:dyDescent="0.25">
      <c r="A326" s="1">
        <v>46347</v>
      </c>
      <c r="B326" t="s">
        <v>12</v>
      </c>
      <c r="C326" t="s">
        <v>29</v>
      </c>
      <c r="D326" t="s">
        <v>46</v>
      </c>
      <c r="E326" t="s">
        <v>50</v>
      </c>
      <c r="F326">
        <v>5</v>
      </c>
      <c r="G326">
        <v>545.58000000000004</v>
      </c>
      <c r="H326">
        <f t="shared" si="5"/>
        <v>2727.9</v>
      </c>
    </row>
    <row r="327" spans="1:8" hidden="1" x14ac:dyDescent="0.25">
      <c r="A327" s="1">
        <v>46348</v>
      </c>
      <c r="B327" t="s">
        <v>16</v>
      </c>
      <c r="C327" t="s">
        <v>9</v>
      </c>
      <c r="D327" t="s">
        <v>10</v>
      </c>
      <c r="E327" t="s">
        <v>11</v>
      </c>
      <c r="F327">
        <v>2</v>
      </c>
      <c r="G327">
        <v>1179.52</v>
      </c>
      <c r="H327">
        <f t="shared" si="5"/>
        <v>2359.04</v>
      </c>
    </row>
    <row r="328" spans="1:8" hidden="1" x14ac:dyDescent="0.25">
      <c r="A328" s="1">
        <v>46349</v>
      </c>
      <c r="B328" t="s">
        <v>8</v>
      </c>
      <c r="C328" t="s">
        <v>34</v>
      </c>
      <c r="D328" t="s">
        <v>46</v>
      </c>
      <c r="E328" t="s">
        <v>44</v>
      </c>
      <c r="F328">
        <v>4</v>
      </c>
      <c r="G328">
        <v>548.73</v>
      </c>
      <c r="H328">
        <f t="shared" si="5"/>
        <v>2194.92</v>
      </c>
    </row>
    <row r="329" spans="1:8" hidden="1" x14ac:dyDescent="0.25">
      <c r="A329" s="1">
        <v>46350</v>
      </c>
      <c r="B329" t="s">
        <v>8</v>
      </c>
      <c r="C329" t="s">
        <v>34</v>
      </c>
      <c r="D329" t="s">
        <v>21</v>
      </c>
      <c r="E329" t="s">
        <v>44</v>
      </c>
      <c r="F329">
        <v>4</v>
      </c>
      <c r="G329">
        <v>233.36</v>
      </c>
      <c r="H329">
        <f t="shared" si="5"/>
        <v>933.44</v>
      </c>
    </row>
    <row r="330" spans="1:8" hidden="1" x14ac:dyDescent="0.25">
      <c r="A330" s="1">
        <v>46351</v>
      </c>
      <c r="B330" t="s">
        <v>19</v>
      </c>
      <c r="C330" t="s">
        <v>9</v>
      </c>
      <c r="D330" t="s">
        <v>10</v>
      </c>
      <c r="E330" t="s">
        <v>32</v>
      </c>
      <c r="F330">
        <v>4</v>
      </c>
      <c r="G330">
        <v>270.75</v>
      </c>
      <c r="H330">
        <f t="shared" si="5"/>
        <v>1083</v>
      </c>
    </row>
    <row r="331" spans="1:8" hidden="1" x14ac:dyDescent="0.25">
      <c r="A331" s="1">
        <v>46352</v>
      </c>
      <c r="B331" t="s">
        <v>27</v>
      </c>
      <c r="C331" t="s">
        <v>13</v>
      </c>
      <c r="D331" t="s">
        <v>10</v>
      </c>
      <c r="E331" t="s">
        <v>37</v>
      </c>
      <c r="F331">
        <v>2</v>
      </c>
      <c r="G331">
        <v>1177.72</v>
      </c>
      <c r="H331">
        <f t="shared" si="5"/>
        <v>2355.44</v>
      </c>
    </row>
    <row r="332" spans="1:8" hidden="1" x14ac:dyDescent="0.25">
      <c r="A332" s="1">
        <v>46353</v>
      </c>
      <c r="B332" t="s">
        <v>27</v>
      </c>
      <c r="C332" t="s">
        <v>13</v>
      </c>
      <c r="D332" t="s">
        <v>41</v>
      </c>
      <c r="E332" t="s">
        <v>51</v>
      </c>
      <c r="F332">
        <v>9</v>
      </c>
      <c r="G332">
        <v>596.1</v>
      </c>
      <c r="H332">
        <f t="shared" si="5"/>
        <v>5364.9000000000005</v>
      </c>
    </row>
    <row r="333" spans="1:8" hidden="1" x14ac:dyDescent="0.25">
      <c r="A333" s="1">
        <v>46354</v>
      </c>
      <c r="B333" t="s">
        <v>19</v>
      </c>
      <c r="C333" t="s">
        <v>34</v>
      </c>
      <c r="D333" t="s">
        <v>31</v>
      </c>
      <c r="E333" t="s">
        <v>55</v>
      </c>
      <c r="F333">
        <v>4</v>
      </c>
      <c r="G333">
        <v>1278.07</v>
      </c>
      <c r="H333">
        <f t="shared" si="5"/>
        <v>5112.28</v>
      </c>
    </row>
    <row r="334" spans="1:8" hidden="1" x14ac:dyDescent="0.25">
      <c r="A334" s="1">
        <v>46355</v>
      </c>
      <c r="B334" t="s">
        <v>16</v>
      </c>
      <c r="C334" t="s">
        <v>20</v>
      </c>
      <c r="D334" t="s">
        <v>43</v>
      </c>
      <c r="E334" t="s">
        <v>22</v>
      </c>
      <c r="F334">
        <v>3</v>
      </c>
      <c r="G334">
        <v>1252.8900000000001</v>
      </c>
      <c r="H334">
        <f t="shared" si="5"/>
        <v>3758.67</v>
      </c>
    </row>
    <row r="335" spans="1:8" hidden="1" x14ac:dyDescent="0.25">
      <c r="A335" s="1">
        <v>46356</v>
      </c>
      <c r="B335" t="s">
        <v>27</v>
      </c>
      <c r="C335" t="s">
        <v>17</v>
      </c>
      <c r="D335" t="s">
        <v>14</v>
      </c>
      <c r="E335" t="s">
        <v>26</v>
      </c>
      <c r="F335">
        <v>9</v>
      </c>
      <c r="G335">
        <v>1258.04</v>
      </c>
      <c r="H335">
        <f t="shared" si="5"/>
        <v>11322.36</v>
      </c>
    </row>
    <row r="336" spans="1:8" hidden="1" x14ac:dyDescent="0.25">
      <c r="A336" s="1">
        <v>46357</v>
      </c>
      <c r="B336" t="s">
        <v>8</v>
      </c>
      <c r="C336" t="s">
        <v>17</v>
      </c>
      <c r="D336" t="s">
        <v>21</v>
      </c>
      <c r="E336" t="s">
        <v>48</v>
      </c>
      <c r="F336">
        <v>9</v>
      </c>
      <c r="G336">
        <v>654.14</v>
      </c>
      <c r="H336">
        <f t="shared" si="5"/>
        <v>5887.26</v>
      </c>
    </row>
    <row r="337" spans="1:8" hidden="1" x14ac:dyDescent="0.25">
      <c r="A337" s="1">
        <v>46358</v>
      </c>
      <c r="B337" t="s">
        <v>16</v>
      </c>
      <c r="C337" t="s">
        <v>13</v>
      </c>
      <c r="D337" t="s">
        <v>46</v>
      </c>
      <c r="E337" t="s">
        <v>37</v>
      </c>
      <c r="F337">
        <v>1</v>
      </c>
      <c r="G337">
        <v>132.13</v>
      </c>
      <c r="H337">
        <f t="shared" si="5"/>
        <v>132.13</v>
      </c>
    </row>
    <row r="338" spans="1:8" hidden="1" x14ac:dyDescent="0.25">
      <c r="A338" s="1">
        <v>46359</v>
      </c>
      <c r="B338" t="s">
        <v>8</v>
      </c>
      <c r="C338" t="s">
        <v>13</v>
      </c>
      <c r="D338" t="s">
        <v>46</v>
      </c>
      <c r="E338" t="s">
        <v>40</v>
      </c>
      <c r="F338">
        <v>6</v>
      </c>
      <c r="G338">
        <v>792.45</v>
      </c>
      <c r="H338">
        <f t="shared" si="5"/>
        <v>4754.7000000000007</v>
      </c>
    </row>
    <row r="339" spans="1:8" x14ac:dyDescent="0.25">
      <c r="A339" s="1">
        <v>46360</v>
      </c>
      <c r="B339" t="s">
        <v>12</v>
      </c>
      <c r="C339" t="s">
        <v>20</v>
      </c>
      <c r="D339" t="s">
        <v>10</v>
      </c>
      <c r="E339" t="s">
        <v>52</v>
      </c>
      <c r="F339">
        <v>4</v>
      </c>
      <c r="G339">
        <v>192.4</v>
      </c>
      <c r="H339">
        <f t="shared" si="5"/>
        <v>769.6</v>
      </c>
    </row>
    <row r="340" spans="1:8" hidden="1" x14ac:dyDescent="0.25">
      <c r="A340" s="1">
        <v>46361</v>
      </c>
      <c r="B340" t="s">
        <v>19</v>
      </c>
      <c r="C340" t="s">
        <v>20</v>
      </c>
      <c r="D340" t="s">
        <v>41</v>
      </c>
      <c r="E340" t="s">
        <v>53</v>
      </c>
      <c r="F340">
        <v>6</v>
      </c>
      <c r="G340">
        <v>1408.96</v>
      </c>
      <c r="H340">
        <f t="shared" si="5"/>
        <v>8453.76</v>
      </c>
    </row>
    <row r="341" spans="1:8" hidden="1" x14ac:dyDescent="0.25">
      <c r="A341" s="1">
        <v>46362</v>
      </c>
      <c r="B341" t="s">
        <v>19</v>
      </c>
      <c r="C341" t="s">
        <v>13</v>
      </c>
      <c r="D341" t="s">
        <v>10</v>
      </c>
      <c r="E341" t="s">
        <v>15</v>
      </c>
      <c r="F341">
        <v>6</v>
      </c>
      <c r="G341">
        <v>76.209999999999994</v>
      </c>
      <c r="H341">
        <f t="shared" si="5"/>
        <v>457.26</v>
      </c>
    </row>
    <row r="342" spans="1:8" x14ac:dyDescent="0.25">
      <c r="A342" s="1">
        <v>46363</v>
      </c>
      <c r="B342" t="s">
        <v>12</v>
      </c>
      <c r="C342" t="s">
        <v>17</v>
      </c>
      <c r="D342" t="s">
        <v>31</v>
      </c>
      <c r="E342" t="s">
        <v>48</v>
      </c>
      <c r="F342">
        <v>6</v>
      </c>
      <c r="G342">
        <v>78.05</v>
      </c>
      <c r="H342">
        <f t="shared" si="5"/>
        <v>468.29999999999995</v>
      </c>
    </row>
    <row r="343" spans="1:8" hidden="1" x14ac:dyDescent="0.25">
      <c r="A343" s="1">
        <v>46364</v>
      </c>
      <c r="B343" t="s">
        <v>27</v>
      </c>
      <c r="C343" t="s">
        <v>34</v>
      </c>
      <c r="D343" t="s">
        <v>14</v>
      </c>
      <c r="E343" t="s">
        <v>38</v>
      </c>
      <c r="F343">
        <v>9</v>
      </c>
      <c r="G343">
        <v>733.29</v>
      </c>
      <c r="H343">
        <f t="shared" si="5"/>
        <v>6599.61</v>
      </c>
    </row>
    <row r="344" spans="1:8" x14ac:dyDescent="0.25">
      <c r="A344" s="1">
        <v>46365</v>
      </c>
      <c r="B344" t="s">
        <v>12</v>
      </c>
      <c r="C344" t="s">
        <v>17</v>
      </c>
      <c r="D344" t="s">
        <v>14</v>
      </c>
      <c r="E344" t="s">
        <v>18</v>
      </c>
      <c r="F344">
        <v>3</v>
      </c>
      <c r="G344">
        <v>370.22</v>
      </c>
      <c r="H344">
        <f t="shared" si="5"/>
        <v>1110.6600000000001</v>
      </c>
    </row>
    <row r="345" spans="1:8" x14ac:dyDescent="0.25">
      <c r="A345" s="1">
        <v>46366</v>
      </c>
      <c r="B345" t="s">
        <v>12</v>
      </c>
      <c r="C345" t="s">
        <v>9</v>
      </c>
      <c r="D345" t="s">
        <v>10</v>
      </c>
      <c r="E345" t="s">
        <v>33</v>
      </c>
      <c r="F345">
        <v>5</v>
      </c>
      <c r="G345">
        <v>1138.74</v>
      </c>
      <c r="H345">
        <f t="shared" si="5"/>
        <v>5693.7</v>
      </c>
    </row>
    <row r="346" spans="1:8" hidden="1" x14ac:dyDescent="0.25">
      <c r="A346" s="1">
        <v>46367</v>
      </c>
      <c r="B346" t="s">
        <v>19</v>
      </c>
      <c r="C346" t="s">
        <v>13</v>
      </c>
      <c r="D346" t="s">
        <v>10</v>
      </c>
      <c r="E346" t="s">
        <v>15</v>
      </c>
      <c r="F346">
        <v>10</v>
      </c>
      <c r="G346">
        <v>451.71</v>
      </c>
      <c r="H346">
        <f t="shared" si="5"/>
        <v>4517.0999999999995</v>
      </c>
    </row>
    <row r="347" spans="1:8" hidden="1" x14ac:dyDescent="0.25">
      <c r="A347" s="1">
        <v>46368</v>
      </c>
      <c r="B347" t="s">
        <v>19</v>
      </c>
      <c r="C347" t="s">
        <v>13</v>
      </c>
      <c r="D347" t="s">
        <v>24</v>
      </c>
      <c r="E347" t="s">
        <v>23</v>
      </c>
      <c r="F347">
        <v>1</v>
      </c>
      <c r="G347">
        <v>1008.48</v>
      </c>
      <c r="H347">
        <f t="shared" si="5"/>
        <v>1008.48</v>
      </c>
    </row>
    <row r="348" spans="1:8" hidden="1" x14ac:dyDescent="0.25">
      <c r="A348" s="1">
        <v>46369</v>
      </c>
      <c r="B348" t="s">
        <v>8</v>
      </c>
      <c r="C348" t="s">
        <v>20</v>
      </c>
      <c r="D348" t="s">
        <v>43</v>
      </c>
      <c r="E348" t="s">
        <v>22</v>
      </c>
      <c r="F348">
        <v>10</v>
      </c>
      <c r="G348">
        <v>1485.84</v>
      </c>
      <c r="H348">
        <f t="shared" si="5"/>
        <v>14858.4</v>
      </c>
    </row>
    <row r="349" spans="1:8" x14ac:dyDescent="0.25">
      <c r="A349" s="1">
        <v>46370</v>
      </c>
      <c r="B349" t="s">
        <v>12</v>
      </c>
      <c r="C349" t="s">
        <v>13</v>
      </c>
      <c r="D349" t="s">
        <v>24</v>
      </c>
      <c r="E349" t="s">
        <v>40</v>
      </c>
      <c r="F349">
        <v>6</v>
      </c>
      <c r="G349">
        <v>584.73</v>
      </c>
      <c r="H349">
        <f t="shared" si="5"/>
        <v>3508.38</v>
      </c>
    </row>
    <row r="350" spans="1:8" hidden="1" x14ac:dyDescent="0.25">
      <c r="A350" s="1">
        <v>46371</v>
      </c>
      <c r="B350" t="s">
        <v>8</v>
      </c>
      <c r="C350" t="s">
        <v>13</v>
      </c>
      <c r="D350" t="s">
        <v>14</v>
      </c>
      <c r="E350" t="s">
        <v>23</v>
      </c>
      <c r="F350">
        <v>1</v>
      </c>
      <c r="G350">
        <v>860.65</v>
      </c>
      <c r="H350">
        <f t="shared" si="5"/>
        <v>860.65</v>
      </c>
    </row>
    <row r="351" spans="1:8" hidden="1" x14ac:dyDescent="0.25">
      <c r="A351" s="1">
        <v>46372</v>
      </c>
      <c r="B351" t="s">
        <v>8</v>
      </c>
      <c r="C351" t="s">
        <v>17</v>
      </c>
      <c r="D351" t="s">
        <v>14</v>
      </c>
      <c r="E351" t="s">
        <v>49</v>
      </c>
      <c r="F351">
        <v>9</v>
      </c>
      <c r="G351">
        <v>419.77</v>
      </c>
      <c r="H351">
        <f t="shared" si="5"/>
        <v>3777.93</v>
      </c>
    </row>
    <row r="352" spans="1:8" hidden="1" x14ac:dyDescent="0.25">
      <c r="A352" s="1">
        <v>46373</v>
      </c>
      <c r="B352" t="s">
        <v>8</v>
      </c>
      <c r="C352" t="s">
        <v>20</v>
      </c>
      <c r="D352" t="s">
        <v>31</v>
      </c>
      <c r="E352" t="s">
        <v>28</v>
      </c>
      <c r="F352">
        <v>2</v>
      </c>
      <c r="G352">
        <v>191.06</v>
      </c>
      <c r="H352">
        <f t="shared" si="5"/>
        <v>382.12</v>
      </c>
    </row>
    <row r="353" spans="1:8" hidden="1" x14ac:dyDescent="0.25">
      <c r="A353" s="1">
        <v>46374</v>
      </c>
      <c r="B353" t="s">
        <v>27</v>
      </c>
      <c r="C353" t="s">
        <v>9</v>
      </c>
      <c r="D353" t="s">
        <v>21</v>
      </c>
      <c r="E353" t="s">
        <v>56</v>
      </c>
      <c r="F353">
        <v>6</v>
      </c>
      <c r="G353">
        <v>1334.74</v>
      </c>
      <c r="H353">
        <f t="shared" si="5"/>
        <v>8008.4400000000005</v>
      </c>
    </row>
    <row r="354" spans="1:8" hidden="1" x14ac:dyDescent="0.25">
      <c r="A354" s="1">
        <v>46375</v>
      </c>
      <c r="B354" t="s">
        <v>27</v>
      </c>
      <c r="C354" t="s">
        <v>9</v>
      </c>
      <c r="D354" t="s">
        <v>21</v>
      </c>
      <c r="E354" t="s">
        <v>42</v>
      </c>
      <c r="F354">
        <v>2</v>
      </c>
      <c r="G354">
        <v>1270.3900000000001</v>
      </c>
      <c r="H354">
        <f t="shared" si="5"/>
        <v>2540.7800000000002</v>
      </c>
    </row>
    <row r="355" spans="1:8" hidden="1" x14ac:dyDescent="0.25">
      <c r="A355" s="1">
        <v>46376</v>
      </c>
      <c r="B355" t="s">
        <v>27</v>
      </c>
      <c r="C355" t="s">
        <v>9</v>
      </c>
      <c r="D355" t="s">
        <v>41</v>
      </c>
      <c r="E355" t="s">
        <v>42</v>
      </c>
      <c r="F355">
        <v>8</v>
      </c>
      <c r="G355">
        <v>888.94</v>
      </c>
      <c r="H355">
        <f t="shared" si="5"/>
        <v>7111.52</v>
      </c>
    </row>
    <row r="356" spans="1:8" hidden="1" x14ac:dyDescent="0.25">
      <c r="A356" s="1">
        <v>46377</v>
      </c>
      <c r="B356" t="s">
        <v>8</v>
      </c>
      <c r="C356" t="s">
        <v>29</v>
      </c>
      <c r="D356" t="s">
        <v>14</v>
      </c>
      <c r="E356" t="s">
        <v>30</v>
      </c>
      <c r="F356">
        <v>1</v>
      </c>
      <c r="G356">
        <v>214.54</v>
      </c>
      <c r="H356">
        <f t="shared" si="5"/>
        <v>214.54</v>
      </c>
    </row>
    <row r="357" spans="1:8" x14ac:dyDescent="0.25">
      <c r="A357" s="1">
        <v>46378</v>
      </c>
      <c r="B357" t="s">
        <v>12</v>
      </c>
      <c r="C357" t="s">
        <v>34</v>
      </c>
      <c r="D357" t="s">
        <v>43</v>
      </c>
      <c r="E357" t="s">
        <v>35</v>
      </c>
      <c r="F357">
        <v>4</v>
      </c>
      <c r="G357">
        <v>1491.33</v>
      </c>
      <c r="H357">
        <f t="shared" si="5"/>
        <v>5965.32</v>
      </c>
    </row>
    <row r="358" spans="1:8" x14ac:dyDescent="0.25">
      <c r="A358" s="1">
        <v>46379</v>
      </c>
      <c r="B358" t="s">
        <v>12</v>
      </c>
      <c r="C358" t="s">
        <v>29</v>
      </c>
      <c r="D358" t="s">
        <v>46</v>
      </c>
      <c r="E358" t="s">
        <v>54</v>
      </c>
      <c r="F358">
        <v>1</v>
      </c>
      <c r="G358">
        <v>592.58000000000004</v>
      </c>
      <c r="H358">
        <f t="shared" si="5"/>
        <v>592.58000000000004</v>
      </c>
    </row>
    <row r="359" spans="1:8" hidden="1" x14ac:dyDescent="0.25">
      <c r="A359" s="1">
        <v>46380</v>
      </c>
      <c r="B359" t="s">
        <v>27</v>
      </c>
      <c r="C359" t="s">
        <v>29</v>
      </c>
      <c r="D359" t="s">
        <v>41</v>
      </c>
      <c r="E359" t="s">
        <v>36</v>
      </c>
      <c r="F359">
        <v>10</v>
      </c>
      <c r="G359">
        <v>185.59</v>
      </c>
      <c r="H359">
        <f t="shared" si="5"/>
        <v>1855.9</v>
      </c>
    </row>
    <row r="360" spans="1:8" hidden="1" x14ac:dyDescent="0.25">
      <c r="A360" s="1">
        <v>46381</v>
      </c>
      <c r="B360" t="s">
        <v>27</v>
      </c>
      <c r="C360" t="s">
        <v>17</v>
      </c>
      <c r="D360" t="s">
        <v>24</v>
      </c>
      <c r="E360" t="s">
        <v>48</v>
      </c>
      <c r="F360">
        <v>10</v>
      </c>
      <c r="G360">
        <v>509.65</v>
      </c>
      <c r="H360">
        <f t="shared" si="5"/>
        <v>5096.5</v>
      </c>
    </row>
    <row r="361" spans="1:8" hidden="1" x14ac:dyDescent="0.25">
      <c r="A361" s="1">
        <v>46382</v>
      </c>
      <c r="B361" t="s">
        <v>27</v>
      </c>
      <c r="C361" t="s">
        <v>13</v>
      </c>
      <c r="D361" t="s">
        <v>46</v>
      </c>
      <c r="E361" t="s">
        <v>23</v>
      </c>
      <c r="F361">
        <v>7</v>
      </c>
      <c r="G361">
        <v>785.79</v>
      </c>
      <c r="H361">
        <f t="shared" si="5"/>
        <v>5500.53</v>
      </c>
    </row>
    <row r="362" spans="1:8" hidden="1" x14ac:dyDescent="0.25">
      <c r="A362" s="1">
        <v>46383</v>
      </c>
      <c r="B362" t="s">
        <v>8</v>
      </c>
      <c r="C362" t="s">
        <v>13</v>
      </c>
      <c r="D362" t="s">
        <v>31</v>
      </c>
      <c r="E362" t="s">
        <v>51</v>
      </c>
      <c r="F362">
        <v>4</v>
      </c>
      <c r="G362">
        <v>742.64</v>
      </c>
      <c r="H362">
        <f t="shared" si="5"/>
        <v>2970.56</v>
      </c>
    </row>
    <row r="363" spans="1:8" x14ac:dyDescent="0.25">
      <c r="A363" s="1">
        <v>46384</v>
      </c>
      <c r="B363" t="s">
        <v>12</v>
      </c>
      <c r="C363" t="s">
        <v>29</v>
      </c>
      <c r="D363" t="s">
        <v>14</v>
      </c>
      <c r="E363" t="s">
        <v>45</v>
      </c>
      <c r="F363">
        <v>5</v>
      </c>
      <c r="G363">
        <v>1057.8599999999999</v>
      </c>
      <c r="H363">
        <f t="shared" si="5"/>
        <v>5289.2999999999993</v>
      </c>
    </row>
    <row r="364" spans="1:8" hidden="1" x14ac:dyDescent="0.25">
      <c r="A364" s="1">
        <v>46385</v>
      </c>
      <c r="B364" t="s">
        <v>27</v>
      </c>
      <c r="C364" t="s">
        <v>13</v>
      </c>
      <c r="D364" t="s">
        <v>31</v>
      </c>
      <c r="E364" t="s">
        <v>40</v>
      </c>
      <c r="F364">
        <v>9</v>
      </c>
      <c r="G364">
        <v>912.15</v>
      </c>
      <c r="H364">
        <f t="shared" si="5"/>
        <v>8209.35</v>
      </c>
    </row>
    <row r="365" spans="1:8" hidden="1" x14ac:dyDescent="0.25">
      <c r="A365" s="1">
        <v>46386</v>
      </c>
      <c r="B365" t="s">
        <v>8</v>
      </c>
      <c r="C365" t="s">
        <v>20</v>
      </c>
      <c r="D365" t="s">
        <v>10</v>
      </c>
      <c r="E365" t="s">
        <v>53</v>
      </c>
      <c r="F365">
        <v>9</v>
      </c>
      <c r="G365">
        <v>337.82</v>
      </c>
      <c r="H365">
        <f t="shared" si="5"/>
        <v>3040.38</v>
      </c>
    </row>
    <row r="366" spans="1:8" hidden="1" x14ac:dyDescent="0.25">
      <c r="A366" s="1">
        <v>46387</v>
      </c>
      <c r="B366" t="s">
        <v>27</v>
      </c>
      <c r="C366" t="s">
        <v>20</v>
      </c>
      <c r="D366" t="s">
        <v>21</v>
      </c>
      <c r="E366" t="s">
        <v>28</v>
      </c>
      <c r="F366">
        <v>6</v>
      </c>
      <c r="G366">
        <v>233.94</v>
      </c>
      <c r="H366">
        <f t="shared" si="5"/>
        <v>1403.6399999999999</v>
      </c>
    </row>
    <row r="367" spans="1:8" hidden="1" x14ac:dyDescent="0.25">
      <c r="A367" s="1">
        <v>46388</v>
      </c>
      <c r="B367" t="s">
        <v>16</v>
      </c>
      <c r="C367" t="s">
        <v>20</v>
      </c>
      <c r="D367" t="s">
        <v>24</v>
      </c>
      <c r="E367" t="s">
        <v>28</v>
      </c>
      <c r="F367">
        <v>5</v>
      </c>
      <c r="G367">
        <v>60.89</v>
      </c>
      <c r="H367">
        <f t="shared" si="5"/>
        <v>304.45</v>
      </c>
    </row>
    <row r="368" spans="1:8" hidden="1" x14ac:dyDescent="0.25">
      <c r="A368" s="1">
        <v>46389</v>
      </c>
      <c r="B368" t="s">
        <v>8</v>
      </c>
      <c r="C368" t="s">
        <v>17</v>
      </c>
      <c r="D368" t="s">
        <v>46</v>
      </c>
      <c r="E368" t="s">
        <v>26</v>
      </c>
      <c r="F368">
        <v>3</v>
      </c>
      <c r="G368">
        <v>668.76</v>
      </c>
      <c r="H368">
        <f t="shared" si="5"/>
        <v>2006.28</v>
      </c>
    </row>
    <row r="369" spans="1:8" hidden="1" x14ac:dyDescent="0.25">
      <c r="A369" s="1">
        <v>46390</v>
      </c>
      <c r="B369" t="s">
        <v>19</v>
      </c>
      <c r="C369" t="s">
        <v>20</v>
      </c>
      <c r="D369" t="s">
        <v>41</v>
      </c>
      <c r="E369" t="s">
        <v>28</v>
      </c>
      <c r="F369">
        <v>2</v>
      </c>
      <c r="G369">
        <v>1350.53</v>
      </c>
      <c r="H369">
        <f t="shared" si="5"/>
        <v>2701.06</v>
      </c>
    </row>
    <row r="370" spans="1:8" hidden="1" x14ac:dyDescent="0.25">
      <c r="A370" s="1">
        <v>46391</v>
      </c>
      <c r="B370" t="s">
        <v>8</v>
      </c>
      <c r="C370" t="s">
        <v>20</v>
      </c>
      <c r="D370" t="s">
        <v>14</v>
      </c>
      <c r="E370" t="s">
        <v>22</v>
      </c>
      <c r="F370">
        <v>3</v>
      </c>
      <c r="G370">
        <v>91.91</v>
      </c>
      <c r="H370">
        <f t="shared" si="5"/>
        <v>275.73</v>
      </c>
    </row>
    <row r="371" spans="1:8" hidden="1" x14ac:dyDescent="0.25">
      <c r="A371" s="1">
        <v>46392</v>
      </c>
      <c r="B371" t="s">
        <v>27</v>
      </c>
      <c r="C371" t="s">
        <v>17</v>
      </c>
      <c r="D371" t="s">
        <v>10</v>
      </c>
      <c r="E371" t="s">
        <v>18</v>
      </c>
      <c r="F371">
        <v>9</v>
      </c>
      <c r="G371">
        <v>1087.25</v>
      </c>
      <c r="H371">
        <f t="shared" si="5"/>
        <v>9785.25</v>
      </c>
    </row>
    <row r="372" spans="1:8" x14ac:dyDescent="0.25">
      <c r="A372" s="1">
        <v>46393</v>
      </c>
      <c r="B372" t="s">
        <v>12</v>
      </c>
      <c r="C372" t="s">
        <v>17</v>
      </c>
      <c r="D372" t="s">
        <v>10</v>
      </c>
      <c r="E372" t="s">
        <v>18</v>
      </c>
      <c r="F372">
        <v>8</v>
      </c>
      <c r="G372">
        <v>404.02</v>
      </c>
      <c r="H372">
        <f t="shared" si="5"/>
        <v>3232.16</v>
      </c>
    </row>
    <row r="373" spans="1:8" hidden="1" x14ac:dyDescent="0.25">
      <c r="A373" s="1">
        <v>46394</v>
      </c>
      <c r="B373" t="s">
        <v>27</v>
      </c>
      <c r="C373" t="s">
        <v>13</v>
      </c>
      <c r="D373" t="s">
        <v>24</v>
      </c>
      <c r="E373" t="s">
        <v>23</v>
      </c>
      <c r="F373">
        <v>3</v>
      </c>
      <c r="G373">
        <v>1189.5</v>
      </c>
      <c r="H373">
        <f t="shared" si="5"/>
        <v>3568.5</v>
      </c>
    </row>
    <row r="374" spans="1:8" hidden="1" x14ac:dyDescent="0.25">
      <c r="A374" s="1">
        <v>46395</v>
      </c>
      <c r="B374" t="s">
        <v>16</v>
      </c>
      <c r="C374" t="s">
        <v>17</v>
      </c>
      <c r="D374" t="s">
        <v>43</v>
      </c>
      <c r="E374" t="s">
        <v>26</v>
      </c>
      <c r="F374">
        <v>6</v>
      </c>
      <c r="G374">
        <v>1112.4000000000001</v>
      </c>
      <c r="H374">
        <f t="shared" si="5"/>
        <v>6674.4000000000005</v>
      </c>
    </row>
    <row r="375" spans="1:8" hidden="1" x14ac:dyDescent="0.25">
      <c r="A375" s="1">
        <v>46396</v>
      </c>
      <c r="B375" t="s">
        <v>27</v>
      </c>
      <c r="C375" t="s">
        <v>9</v>
      </c>
      <c r="D375" t="s">
        <v>46</v>
      </c>
      <c r="E375" t="s">
        <v>33</v>
      </c>
      <c r="F375">
        <v>5</v>
      </c>
      <c r="G375">
        <v>192.14</v>
      </c>
      <c r="H375">
        <f t="shared" si="5"/>
        <v>960.69999999999993</v>
      </c>
    </row>
    <row r="376" spans="1:8" hidden="1" x14ac:dyDescent="0.25">
      <c r="A376" s="1">
        <v>46397</v>
      </c>
      <c r="B376" t="s">
        <v>19</v>
      </c>
      <c r="C376" t="s">
        <v>20</v>
      </c>
      <c r="D376" t="s">
        <v>21</v>
      </c>
      <c r="E376" t="s">
        <v>28</v>
      </c>
      <c r="F376">
        <v>8</v>
      </c>
      <c r="G376">
        <v>1024.95</v>
      </c>
      <c r="H376">
        <f t="shared" si="5"/>
        <v>8199.6</v>
      </c>
    </row>
    <row r="377" spans="1:8" hidden="1" x14ac:dyDescent="0.25">
      <c r="A377" s="1">
        <v>46398</v>
      </c>
      <c r="B377" t="s">
        <v>27</v>
      </c>
      <c r="C377" t="s">
        <v>9</v>
      </c>
      <c r="D377" t="s">
        <v>46</v>
      </c>
      <c r="E377" t="s">
        <v>11</v>
      </c>
      <c r="F377">
        <v>3</v>
      </c>
      <c r="G377">
        <v>642.04</v>
      </c>
      <c r="H377">
        <f t="shared" si="5"/>
        <v>1926.12</v>
      </c>
    </row>
    <row r="378" spans="1:8" hidden="1" x14ac:dyDescent="0.25">
      <c r="A378" s="1">
        <v>46399</v>
      </c>
      <c r="B378" t="s">
        <v>8</v>
      </c>
      <c r="C378" t="s">
        <v>13</v>
      </c>
      <c r="D378" t="s">
        <v>21</v>
      </c>
      <c r="E378" t="s">
        <v>15</v>
      </c>
      <c r="F378">
        <v>7</v>
      </c>
      <c r="G378">
        <v>219.03</v>
      </c>
      <c r="H378">
        <f t="shared" si="5"/>
        <v>1533.21</v>
      </c>
    </row>
    <row r="379" spans="1:8" hidden="1" x14ac:dyDescent="0.25">
      <c r="A379" s="1">
        <v>46400</v>
      </c>
      <c r="B379" t="s">
        <v>19</v>
      </c>
      <c r="C379" t="s">
        <v>34</v>
      </c>
      <c r="D379" t="s">
        <v>10</v>
      </c>
      <c r="E379" t="s">
        <v>55</v>
      </c>
      <c r="F379">
        <v>3</v>
      </c>
      <c r="G379">
        <v>318.20999999999998</v>
      </c>
      <c r="H379">
        <f t="shared" si="5"/>
        <v>954.62999999999988</v>
      </c>
    </row>
    <row r="380" spans="1:8" hidden="1" x14ac:dyDescent="0.25">
      <c r="A380" s="1">
        <v>46401</v>
      </c>
      <c r="B380" t="s">
        <v>19</v>
      </c>
      <c r="C380" t="s">
        <v>29</v>
      </c>
      <c r="D380" t="s">
        <v>24</v>
      </c>
      <c r="E380" t="s">
        <v>30</v>
      </c>
      <c r="F380">
        <v>6</v>
      </c>
      <c r="G380">
        <v>55.45</v>
      </c>
      <c r="H380">
        <f t="shared" si="5"/>
        <v>332.70000000000005</v>
      </c>
    </row>
    <row r="381" spans="1:8" hidden="1" x14ac:dyDescent="0.25">
      <c r="A381" s="1">
        <v>46402</v>
      </c>
      <c r="B381" t="s">
        <v>16</v>
      </c>
      <c r="C381" t="s">
        <v>17</v>
      </c>
      <c r="D381" t="s">
        <v>31</v>
      </c>
      <c r="E381" t="s">
        <v>26</v>
      </c>
      <c r="F381">
        <v>9</v>
      </c>
      <c r="G381">
        <v>163.55000000000001</v>
      </c>
      <c r="H381">
        <f t="shared" si="5"/>
        <v>1471.95</v>
      </c>
    </row>
    <row r="382" spans="1:8" x14ac:dyDescent="0.25">
      <c r="A382" s="1">
        <v>46403</v>
      </c>
      <c r="B382" t="s">
        <v>12</v>
      </c>
      <c r="C382" t="s">
        <v>17</v>
      </c>
      <c r="D382" t="s">
        <v>31</v>
      </c>
      <c r="E382" t="s">
        <v>18</v>
      </c>
      <c r="F382">
        <v>10</v>
      </c>
      <c r="G382">
        <v>531.83000000000004</v>
      </c>
      <c r="H382">
        <f t="shared" si="5"/>
        <v>5318.3</v>
      </c>
    </row>
    <row r="383" spans="1:8" hidden="1" x14ac:dyDescent="0.25">
      <c r="A383" s="1">
        <v>46404</v>
      </c>
      <c r="B383" t="s">
        <v>16</v>
      </c>
      <c r="C383" t="s">
        <v>20</v>
      </c>
      <c r="D383" t="s">
        <v>31</v>
      </c>
      <c r="E383" t="s">
        <v>52</v>
      </c>
      <c r="F383">
        <v>6</v>
      </c>
      <c r="G383">
        <v>566.86</v>
      </c>
      <c r="H383">
        <f t="shared" si="5"/>
        <v>3401.16</v>
      </c>
    </row>
    <row r="384" spans="1:8" hidden="1" x14ac:dyDescent="0.25">
      <c r="A384" s="1">
        <v>46405</v>
      </c>
      <c r="B384" t="s">
        <v>8</v>
      </c>
      <c r="C384" t="s">
        <v>29</v>
      </c>
      <c r="D384" t="s">
        <v>41</v>
      </c>
      <c r="E384" t="s">
        <v>30</v>
      </c>
      <c r="F384">
        <v>1</v>
      </c>
      <c r="G384">
        <v>699.53</v>
      </c>
      <c r="H384">
        <f t="shared" si="5"/>
        <v>699.53</v>
      </c>
    </row>
    <row r="385" spans="1:8" hidden="1" x14ac:dyDescent="0.25">
      <c r="A385" s="1">
        <v>46406</v>
      </c>
      <c r="B385" t="s">
        <v>16</v>
      </c>
      <c r="C385" t="s">
        <v>34</v>
      </c>
      <c r="D385" t="s">
        <v>10</v>
      </c>
      <c r="E385" t="s">
        <v>38</v>
      </c>
      <c r="F385">
        <v>6</v>
      </c>
      <c r="G385">
        <v>408.58</v>
      </c>
      <c r="H385">
        <f t="shared" si="5"/>
        <v>2451.48</v>
      </c>
    </row>
    <row r="386" spans="1:8" hidden="1" x14ac:dyDescent="0.25">
      <c r="A386" s="1">
        <v>46407</v>
      </c>
      <c r="B386" t="s">
        <v>8</v>
      </c>
      <c r="C386" t="s">
        <v>13</v>
      </c>
      <c r="D386" t="s">
        <v>21</v>
      </c>
      <c r="E386" t="s">
        <v>51</v>
      </c>
      <c r="F386">
        <v>7</v>
      </c>
      <c r="G386">
        <v>730.9</v>
      </c>
      <c r="H386">
        <f t="shared" si="5"/>
        <v>5116.3</v>
      </c>
    </row>
    <row r="387" spans="1:8" hidden="1" x14ac:dyDescent="0.25">
      <c r="A387" s="1">
        <v>46408</v>
      </c>
      <c r="B387" t="s">
        <v>16</v>
      </c>
      <c r="C387" t="s">
        <v>29</v>
      </c>
      <c r="D387" t="s">
        <v>41</v>
      </c>
      <c r="E387" t="s">
        <v>36</v>
      </c>
      <c r="F387">
        <v>1</v>
      </c>
      <c r="G387">
        <v>675.93</v>
      </c>
      <c r="H387">
        <f t="shared" ref="H387:H450" si="6">F387*G387</f>
        <v>675.93</v>
      </c>
    </row>
    <row r="388" spans="1:8" hidden="1" x14ac:dyDescent="0.25">
      <c r="A388" s="1">
        <v>46409</v>
      </c>
      <c r="B388" t="s">
        <v>19</v>
      </c>
      <c r="C388" t="s">
        <v>17</v>
      </c>
      <c r="D388" t="s">
        <v>10</v>
      </c>
      <c r="E388" t="s">
        <v>48</v>
      </c>
      <c r="F388">
        <v>7</v>
      </c>
      <c r="G388">
        <v>1144.0899999999999</v>
      </c>
      <c r="H388">
        <f t="shared" si="6"/>
        <v>8008.6299999999992</v>
      </c>
    </row>
    <row r="389" spans="1:8" hidden="1" x14ac:dyDescent="0.25">
      <c r="A389" s="1">
        <v>46410</v>
      </c>
      <c r="B389" t="s">
        <v>8</v>
      </c>
      <c r="C389" t="s">
        <v>29</v>
      </c>
      <c r="D389" t="s">
        <v>24</v>
      </c>
      <c r="E389" t="s">
        <v>45</v>
      </c>
      <c r="F389">
        <v>8</v>
      </c>
      <c r="G389">
        <v>1350.53</v>
      </c>
      <c r="H389">
        <f t="shared" si="6"/>
        <v>10804.24</v>
      </c>
    </row>
    <row r="390" spans="1:8" x14ac:dyDescent="0.25">
      <c r="A390" s="1">
        <v>46411</v>
      </c>
      <c r="B390" t="s">
        <v>12</v>
      </c>
      <c r="C390" t="s">
        <v>17</v>
      </c>
      <c r="D390" t="s">
        <v>46</v>
      </c>
      <c r="E390" t="s">
        <v>25</v>
      </c>
      <c r="F390">
        <v>4</v>
      </c>
      <c r="G390">
        <v>1427.44</v>
      </c>
      <c r="H390">
        <f t="shared" si="6"/>
        <v>5709.76</v>
      </c>
    </row>
    <row r="391" spans="1:8" hidden="1" x14ac:dyDescent="0.25">
      <c r="A391" s="1">
        <v>46412</v>
      </c>
      <c r="B391" t="s">
        <v>16</v>
      </c>
      <c r="C391" t="s">
        <v>17</v>
      </c>
      <c r="D391" t="s">
        <v>31</v>
      </c>
      <c r="E391" t="s">
        <v>26</v>
      </c>
      <c r="F391">
        <v>1</v>
      </c>
      <c r="G391">
        <v>994.86</v>
      </c>
      <c r="H391">
        <f t="shared" si="6"/>
        <v>994.86</v>
      </c>
    </row>
    <row r="392" spans="1:8" hidden="1" x14ac:dyDescent="0.25">
      <c r="A392" s="1">
        <v>46413</v>
      </c>
      <c r="B392" t="s">
        <v>27</v>
      </c>
      <c r="C392" t="s">
        <v>13</v>
      </c>
      <c r="D392" t="s">
        <v>46</v>
      </c>
      <c r="E392" t="s">
        <v>51</v>
      </c>
      <c r="F392">
        <v>9</v>
      </c>
      <c r="G392">
        <v>213.57</v>
      </c>
      <c r="H392">
        <f t="shared" si="6"/>
        <v>1922.1299999999999</v>
      </c>
    </row>
    <row r="393" spans="1:8" hidden="1" x14ac:dyDescent="0.25">
      <c r="A393" s="1">
        <v>46414</v>
      </c>
      <c r="B393" t="s">
        <v>27</v>
      </c>
      <c r="C393" t="s">
        <v>29</v>
      </c>
      <c r="D393" t="s">
        <v>41</v>
      </c>
      <c r="E393" t="s">
        <v>30</v>
      </c>
      <c r="F393">
        <v>7</v>
      </c>
      <c r="G393">
        <v>478.07</v>
      </c>
      <c r="H393">
        <f t="shared" si="6"/>
        <v>3346.49</v>
      </c>
    </row>
    <row r="394" spans="1:8" hidden="1" x14ac:dyDescent="0.25">
      <c r="A394" s="1">
        <v>46415</v>
      </c>
      <c r="B394" t="s">
        <v>8</v>
      </c>
      <c r="C394" t="s">
        <v>20</v>
      </c>
      <c r="D394" t="s">
        <v>31</v>
      </c>
      <c r="E394" t="s">
        <v>52</v>
      </c>
      <c r="F394">
        <v>7</v>
      </c>
      <c r="G394">
        <v>337.32</v>
      </c>
      <c r="H394">
        <f t="shared" si="6"/>
        <v>2361.2399999999998</v>
      </c>
    </row>
    <row r="395" spans="1:8" hidden="1" x14ac:dyDescent="0.25">
      <c r="A395" s="1">
        <v>46416</v>
      </c>
      <c r="B395" t="s">
        <v>8</v>
      </c>
      <c r="C395" t="s">
        <v>9</v>
      </c>
      <c r="D395" t="s">
        <v>24</v>
      </c>
      <c r="E395" t="s">
        <v>42</v>
      </c>
      <c r="F395">
        <v>1</v>
      </c>
      <c r="G395">
        <v>1326.12</v>
      </c>
      <c r="H395">
        <f t="shared" si="6"/>
        <v>1326.12</v>
      </c>
    </row>
    <row r="396" spans="1:8" hidden="1" x14ac:dyDescent="0.25">
      <c r="A396" s="1">
        <v>46417</v>
      </c>
      <c r="B396" t="s">
        <v>19</v>
      </c>
      <c r="C396" t="s">
        <v>34</v>
      </c>
      <c r="D396" t="s">
        <v>21</v>
      </c>
      <c r="E396" t="s">
        <v>47</v>
      </c>
      <c r="F396">
        <v>10</v>
      </c>
      <c r="G396">
        <v>234.43</v>
      </c>
      <c r="H396">
        <f t="shared" si="6"/>
        <v>2344.3000000000002</v>
      </c>
    </row>
    <row r="397" spans="1:8" hidden="1" x14ac:dyDescent="0.25">
      <c r="A397" s="1">
        <v>46418</v>
      </c>
      <c r="B397" t="s">
        <v>19</v>
      </c>
      <c r="C397" t="s">
        <v>29</v>
      </c>
      <c r="D397" t="s">
        <v>10</v>
      </c>
      <c r="E397" t="s">
        <v>45</v>
      </c>
      <c r="F397">
        <v>5</v>
      </c>
      <c r="G397">
        <v>225.29</v>
      </c>
      <c r="H397">
        <f t="shared" si="6"/>
        <v>1126.45</v>
      </c>
    </row>
    <row r="398" spans="1:8" x14ac:dyDescent="0.25">
      <c r="A398" s="1">
        <v>46419</v>
      </c>
      <c r="B398" t="s">
        <v>12</v>
      </c>
      <c r="C398" t="s">
        <v>20</v>
      </c>
      <c r="D398" t="s">
        <v>10</v>
      </c>
      <c r="E398" t="s">
        <v>52</v>
      </c>
      <c r="F398">
        <v>5</v>
      </c>
      <c r="G398">
        <v>1294.77</v>
      </c>
      <c r="H398">
        <f t="shared" si="6"/>
        <v>6473.85</v>
      </c>
    </row>
    <row r="399" spans="1:8" hidden="1" x14ac:dyDescent="0.25">
      <c r="A399" s="1">
        <v>46420</v>
      </c>
      <c r="B399" t="s">
        <v>27</v>
      </c>
      <c r="C399" t="s">
        <v>9</v>
      </c>
      <c r="D399" t="s">
        <v>10</v>
      </c>
      <c r="E399" t="s">
        <v>33</v>
      </c>
      <c r="F399">
        <v>9</v>
      </c>
      <c r="G399">
        <v>20.37</v>
      </c>
      <c r="H399">
        <f t="shared" si="6"/>
        <v>183.33</v>
      </c>
    </row>
    <row r="400" spans="1:8" hidden="1" x14ac:dyDescent="0.25">
      <c r="A400" s="1">
        <v>46421</v>
      </c>
      <c r="B400" t="s">
        <v>27</v>
      </c>
      <c r="C400" t="s">
        <v>9</v>
      </c>
      <c r="D400" t="s">
        <v>10</v>
      </c>
      <c r="E400" t="s">
        <v>33</v>
      </c>
      <c r="F400">
        <v>7</v>
      </c>
      <c r="G400">
        <v>1060.49</v>
      </c>
      <c r="H400">
        <f t="shared" si="6"/>
        <v>7423.43</v>
      </c>
    </row>
    <row r="401" spans="1:8" hidden="1" x14ac:dyDescent="0.25">
      <c r="A401" s="1">
        <v>46422</v>
      </c>
      <c r="B401" t="s">
        <v>19</v>
      </c>
      <c r="C401" t="s">
        <v>34</v>
      </c>
      <c r="D401" t="s">
        <v>41</v>
      </c>
      <c r="E401" t="s">
        <v>35</v>
      </c>
      <c r="F401">
        <v>9</v>
      </c>
      <c r="G401">
        <v>82.26</v>
      </c>
      <c r="H401">
        <f t="shared" si="6"/>
        <v>740.34</v>
      </c>
    </row>
    <row r="402" spans="1:8" hidden="1" x14ac:dyDescent="0.25">
      <c r="A402" s="1">
        <v>46423</v>
      </c>
      <c r="B402" t="s">
        <v>19</v>
      </c>
      <c r="C402" t="s">
        <v>17</v>
      </c>
      <c r="D402" t="s">
        <v>14</v>
      </c>
      <c r="E402" t="s">
        <v>26</v>
      </c>
      <c r="F402">
        <v>8</v>
      </c>
      <c r="G402">
        <v>922.57</v>
      </c>
      <c r="H402">
        <f t="shared" si="6"/>
        <v>7380.56</v>
      </c>
    </row>
    <row r="403" spans="1:8" hidden="1" x14ac:dyDescent="0.25">
      <c r="A403" s="1">
        <v>46424</v>
      </c>
      <c r="B403" t="s">
        <v>19</v>
      </c>
      <c r="C403" t="s">
        <v>34</v>
      </c>
      <c r="D403" t="s">
        <v>14</v>
      </c>
      <c r="E403" t="s">
        <v>47</v>
      </c>
      <c r="F403">
        <v>1</v>
      </c>
      <c r="G403">
        <v>106.27</v>
      </c>
      <c r="H403">
        <f t="shared" si="6"/>
        <v>106.27</v>
      </c>
    </row>
    <row r="404" spans="1:8" hidden="1" x14ac:dyDescent="0.25">
      <c r="A404" s="1">
        <v>46425</v>
      </c>
      <c r="B404" t="s">
        <v>16</v>
      </c>
      <c r="C404" t="s">
        <v>34</v>
      </c>
      <c r="D404" t="s">
        <v>46</v>
      </c>
      <c r="E404" t="s">
        <v>38</v>
      </c>
      <c r="F404">
        <v>1</v>
      </c>
      <c r="G404">
        <v>810.79</v>
      </c>
      <c r="H404">
        <f t="shared" si="6"/>
        <v>810.79</v>
      </c>
    </row>
    <row r="405" spans="1:8" hidden="1" x14ac:dyDescent="0.25">
      <c r="A405" s="1">
        <v>46426</v>
      </c>
      <c r="B405" t="s">
        <v>19</v>
      </c>
      <c r="C405" t="s">
        <v>9</v>
      </c>
      <c r="D405" t="s">
        <v>14</v>
      </c>
      <c r="E405" t="s">
        <v>56</v>
      </c>
      <c r="F405">
        <v>10</v>
      </c>
      <c r="G405">
        <v>496.75</v>
      </c>
      <c r="H405">
        <f t="shared" si="6"/>
        <v>4967.5</v>
      </c>
    </row>
    <row r="406" spans="1:8" hidden="1" x14ac:dyDescent="0.25">
      <c r="A406" s="1">
        <v>46427</v>
      </c>
      <c r="B406" t="s">
        <v>16</v>
      </c>
      <c r="C406" t="s">
        <v>34</v>
      </c>
      <c r="D406" t="s">
        <v>14</v>
      </c>
      <c r="E406" t="s">
        <v>35</v>
      </c>
      <c r="F406">
        <v>4</v>
      </c>
      <c r="G406">
        <v>851.79</v>
      </c>
      <c r="H406">
        <f t="shared" si="6"/>
        <v>3407.16</v>
      </c>
    </row>
    <row r="407" spans="1:8" hidden="1" x14ac:dyDescent="0.25">
      <c r="A407" s="1">
        <v>46428</v>
      </c>
      <c r="B407" t="s">
        <v>19</v>
      </c>
      <c r="C407" t="s">
        <v>29</v>
      </c>
      <c r="D407" t="s">
        <v>41</v>
      </c>
      <c r="E407" t="s">
        <v>36</v>
      </c>
      <c r="F407">
        <v>10</v>
      </c>
      <c r="G407">
        <v>545.13</v>
      </c>
      <c r="H407">
        <f t="shared" si="6"/>
        <v>5451.3</v>
      </c>
    </row>
    <row r="408" spans="1:8" hidden="1" x14ac:dyDescent="0.25">
      <c r="A408" s="1">
        <v>46429</v>
      </c>
      <c r="B408" t="s">
        <v>27</v>
      </c>
      <c r="C408" t="s">
        <v>9</v>
      </c>
      <c r="D408" t="s">
        <v>43</v>
      </c>
      <c r="E408" t="s">
        <v>11</v>
      </c>
      <c r="F408">
        <v>7</v>
      </c>
      <c r="G408">
        <v>1129.44</v>
      </c>
      <c r="H408">
        <f t="shared" si="6"/>
        <v>7906.08</v>
      </c>
    </row>
    <row r="409" spans="1:8" hidden="1" x14ac:dyDescent="0.25">
      <c r="A409" s="1">
        <v>46430</v>
      </c>
      <c r="B409" t="s">
        <v>27</v>
      </c>
      <c r="C409" t="s">
        <v>34</v>
      </c>
      <c r="D409" t="s">
        <v>31</v>
      </c>
      <c r="E409" t="s">
        <v>47</v>
      </c>
      <c r="F409">
        <v>7</v>
      </c>
      <c r="G409">
        <v>240.02</v>
      </c>
      <c r="H409">
        <f t="shared" si="6"/>
        <v>1680.14</v>
      </c>
    </row>
    <row r="410" spans="1:8" hidden="1" x14ac:dyDescent="0.25">
      <c r="A410" s="1">
        <v>46431</v>
      </c>
      <c r="B410" t="s">
        <v>27</v>
      </c>
      <c r="C410" t="s">
        <v>20</v>
      </c>
      <c r="D410" t="s">
        <v>31</v>
      </c>
      <c r="E410" t="s">
        <v>22</v>
      </c>
      <c r="F410">
        <v>4</v>
      </c>
      <c r="G410">
        <v>1472.53</v>
      </c>
      <c r="H410">
        <f t="shared" si="6"/>
        <v>5890.12</v>
      </c>
    </row>
    <row r="411" spans="1:8" hidden="1" x14ac:dyDescent="0.25">
      <c r="A411" s="1">
        <v>46432</v>
      </c>
      <c r="B411" t="s">
        <v>27</v>
      </c>
      <c r="C411" t="s">
        <v>20</v>
      </c>
      <c r="D411" t="s">
        <v>21</v>
      </c>
      <c r="E411" t="s">
        <v>28</v>
      </c>
      <c r="F411">
        <v>8</v>
      </c>
      <c r="G411">
        <v>1265.3599999999999</v>
      </c>
      <c r="H411">
        <f t="shared" si="6"/>
        <v>10122.879999999999</v>
      </c>
    </row>
    <row r="412" spans="1:8" hidden="1" x14ac:dyDescent="0.25">
      <c r="A412" s="1">
        <v>46433</v>
      </c>
      <c r="B412" t="s">
        <v>16</v>
      </c>
      <c r="C412" t="s">
        <v>29</v>
      </c>
      <c r="D412" t="s">
        <v>24</v>
      </c>
      <c r="E412" t="s">
        <v>45</v>
      </c>
      <c r="F412">
        <v>4</v>
      </c>
      <c r="G412">
        <v>593.55999999999995</v>
      </c>
      <c r="H412">
        <f t="shared" si="6"/>
        <v>2374.2399999999998</v>
      </c>
    </row>
    <row r="413" spans="1:8" hidden="1" x14ac:dyDescent="0.25">
      <c r="A413" s="1">
        <v>46434</v>
      </c>
      <c r="B413" t="s">
        <v>27</v>
      </c>
      <c r="C413" t="s">
        <v>29</v>
      </c>
      <c r="D413" t="s">
        <v>46</v>
      </c>
      <c r="E413" t="s">
        <v>54</v>
      </c>
      <c r="F413">
        <v>1</v>
      </c>
      <c r="G413">
        <v>220.69</v>
      </c>
      <c r="H413">
        <f t="shared" si="6"/>
        <v>220.69</v>
      </c>
    </row>
    <row r="414" spans="1:8" hidden="1" x14ac:dyDescent="0.25">
      <c r="A414" s="1">
        <v>46435</v>
      </c>
      <c r="B414" t="s">
        <v>19</v>
      </c>
      <c r="C414" t="s">
        <v>20</v>
      </c>
      <c r="D414" t="s">
        <v>43</v>
      </c>
      <c r="E414" t="s">
        <v>39</v>
      </c>
      <c r="F414">
        <v>2</v>
      </c>
      <c r="G414">
        <v>583.39</v>
      </c>
      <c r="H414">
        <f t="shared" si="6"/>
        <v>1166.78</v>
      </c>
    </row>
    <row r="415" spans="1:8" x14ac:dyDescent="0.25">
      <c r="A415" s="1">
        <v>46436</v>
      </c>
      <c r="B415" t="s">
        <v>12</v>
      </c>
      <c r="C415" t="s">
        <v>29</v>
      </c>
      <c r="D415" t="s">
        <v>46</v>
      </c>
      <c r="E415" t="s">
        <v>45</v>
      </c>
      <c r="F415">
        <v>3</v>
      </c>
      <c r="G415">
        <v>928.89</v>
      </c>
      <c r="H415">
        <f t="shared" si="6"/>
        <v>2786.67</v>
      </c>
    </row>
    <row r="416" spans="1:8" hidden="1" x14ac:dyDescent="0.25">
      <c r="A416" s="1">
        <v>46437</v>
      </c>
      <c r="B416" t="s">
        <v>19</v>
      </c>
      <c r="C416" t="s">
        <v>20</v>
      </c>
      <c r="D416" t="s">
        <v>31</v>
      </c>
      <c r="E416" t="s">
        <v>52</v>
      </c>
      <c r="F416">
        <v>1</v>
      </c>
      <c r="G416">
        <v>133.47999999999999</v>
      </c>
      <c r="H416">
        <f t="shared" si="6"/>
        <v>133.47999999999999</v>
      </c>
    </row>
    <row r="417" spans="1:8" hidden="1" x14ac:dyDescent="0.25">
      <c r="A417" s="1">
        <v>46438</v>
      </c>
      <c r="B417" t="s">
        <v>27</v>
      </c>
      <c r="C417" t="s">
        <v>34</v>
      </c>
      <c r="D417" t="s">
        <v>46</v>
      </c>
      <c r="E417" t="s">
        <v>47</v>
      </c>
      <c r="F417">
        <v>1</v>
      </c>
      <c r="G417">
        <v>1080.7</v>
      </c>
      <c r="H417">
        <f t="shared" si="6"/>
        <v>1080.7</v>
      </c>
    </row>
    <row r="418" spans="1:8" hidden="1" x14ac:dyDescent="0.25">
      <c r="A418" s="1">
        <v>46439</v>
      </c>
      <c r="B418" t="s">
        <v>16</v>
      </c>
      <c r="C418" t="s">
        <v>17</v>
      </c>
      <c r="D418" t="s">
        <v>46</v>
      </c>
      <c r="E418" t="s">
        <v>48</v>
      </c>
      <c r="F418">
        <v>1</v>
      </c>
      <c r="G418">
        <v>173.27</v>
      </c>
      <c r="H418">
        <f t="shared" si="6"/>
        <v>173.27</v>
      </c>
    </row>
    <row r="419" spans="1:8" hidden="1" x14ac:dyDescent="0.25">
      <c r="A419" s="1">
        <v>46440</v>
      </c>
      <c r="B419" t="s">
        <v>8</v>
      </c>
      <c r="C419" t="s">
        <v>9</v>
      </c>
      <c r="D419" t="s">
        <v>21</v>
      </c>
      <c r="E419" t="s">
        <v>42</v>
      </c>
      <c r="F419">
        <v>7</v>
      </c>
      <c r="G419">
        <v>42.16</v>
      </c>
      <c r="H419">
        <f t="shared" si="6"/>
        <v>295.12</v>
      </c>
    </row>
    <row r="420" spans="1:8" x14ac:dyDescent="0.25">
      <c r="A420" s="1">
        <v>46441</v>
      </c>
      <c r="B420" t="s">
        <v>12</v>
      </c>
      <c r="C420" t="s">
        <v>20</v>
      </c>
      <c r="D420" t="s">
        <v>43</v>
      </c>
      <c r="E420" t="s">
        <v>52</v>
      </c>
      <c r="F420">
        <v>7</v>
      </c>
      <c r="G420">
        <v>1151.58</v>
      </c>
      <c r="H420">
        <f t="shared" si="6"/>
        <v>8061.0599999999995</v>
      </c>
    </row>
    <row r="421" spans="1:8" x14ac:dyDescent="0.25">
      <c r="A421" s="1">
        <v>46442</v>
      </c>
      <c r="B421" t="s">
        <v>12</v>
      </c>
      <c r="C421" t="s">
        <v>13</v>
      </c>
      <c r="D421" t="s">
        <v>10</v>
      </c>
      <c r="E421" t="s">
        <v>23</v>
      </c>
      <c r="F421">
        <v>4</v>
      </c>
      <c r="G421">
        <v>204.8</v>
      </c>
      <c r="H421">
        <f t="shared" si="6"/>
        <v>819.2</v>
      </c>
    </row>
    <row r="422" spans="1:8" hidden="1" x14ac:dyDescent="0.25">
      <c r="A422" s="1">
        <v>46443</v>
      </c>
      <c r="B422" t="s">
        <v>16</v>
      </c>
      <c r="C422" t="s">
        <v>34</v>
      </c>
      <c r="D422" t="s">
        <v>43</v>
      </c>
      <c r="E422" t="s">
        <v>47</v>
      </c>
      <c r="F422">
        <v>3</v>
      </c>
      <c r="G422">
        <v>1048.17</v>
      </c>
      <c r="H422">
        <f t="shared" si="6"/>
        <v>3144.51</v>
      </c>
    </row>
    <row r="423" spans="1:8" x14ac:dyDescent="0.25">
      <c r="A423" s="1">
        <v>46444</v>
      </c>
      <c r="B423" t="s">
        <v>12</v>
      </c>
      <c r="C423" t="s">
        <v>34</v>
      </c>
      <c r="D423" t="s">
        <v>24</v>
      </c>
      <c r="E423" t="s">
        <v>38</v>
      </c>
      <c r="F423">
        <v>10</v>
      </c>
      <c r="G423">
        <v>913.17</v>
      </c>
      <c r="H423">
        <f t="shared" si="6"/>
        <v>9131.6999999999989</v>
      </c>
    </row>
    <row r="424" spans="1:8" hidden="1" x14ac:dyDescent="0.25">
      <c r="A424" s="1">
        <v>46445</v>
      </c>
      <c r="B424" t="s">
        <v>27</v>
      </c>
      <c r="C424" t="s">
        <v>29</v>
      </c>
      <c r="D424" t="s">
        <v>14</v>
      </c>
      <c r="E424" t="s">
        <v>45</v>
      </c>
      <c r="F424">
        <v>6</v>
      </c>
      <c r="G424">
        <v>869.89</v>
      </c>
      <c r="H424">
        <f t="shared" si="6"/>
        <v>5219.34</v>
      </c>
    </row>
    <row r="425" spans="1:8" x14ac:dyDescent="0.25">
      <c r="A425" s="1">
        <v>46446</v>
      </c>
      <c r="B425" t="s">
        <v>12</v>
      </c>
      <c r="C425" t="s">
        <v>9</v>
      </c>
      <c r="D425" t="s">
        <v>21</v>
      </c>
      <c r="E425" t="s">
        <v>33</v>
      </c>
      <c r="F425">
        <v>2</v>
      </c>
      <c r="G425">
        <v>712.28</v>
      </c>
      <c r="H425">
        <f t="shared" si="6"/>
        <v>1424.56</v>
      </c>
    </row>
    <row r="426" spans="1:8" hidden="1" x14ac:dyDescent="0.25">
      <c r="A426" s="1">
        <v>46447</v>
      </c>
      <c r="B426" t="s">
        <v>8</v>
      </c>
      <c r="C426" t="s">
        <v>13</v>
      </c>
      <c r="D426" t="s">
        <v>14</v>
      </c>
      <c r="E426" t="s">
        <v>37</v>
      </c>
      <c r="F426">
        <v>9</v>
      </c>
      <c r="G426">
        <v>1484.05</v>
      </c>
      <c r="H426">
        <f t="shared" si="6"/>
        <v>13356.449999999999</v>
      </c>
    </row>
    <row r="427" spans="1:8" hidden="1" x14ac:dyDescent="0.25">
      <c r="A427" s="1">
        <v>46448</v>
      </c>
      <c r="B427" t="s">
        <v>8</v>
      </c>
      <c r="C427" t="s">
        <v>13</v>
      </c>
      <c r="D427" t="s">
        <v>10</v>
      </c>
      <c r="E427" t="s">
        <v>23</v>
      </c>
      <c r="F427">
        <v>4</v>
      </c>
      <c r="G427">
        <v>1326.83</v>
      </c>
      <c r="H427">
        <f t="shared" si="6"/>
        <v>5307.32</v>
      </c>
    </row>
    <row r="428" spans="1:8" hidden="1" x14ac:dyDescent="0.25">
      <c r="A428" s="1">
        <v>46449</v>
      </c>
      <c r="B428" t="s">
        <v>27</v>
      </c>
      <c r="C428" t="s">
        <v>34</v>
      </c>
      <c r="D428" t="s">
        <v>10</v>
      </c>
      <c r="E428" t="s">
        <v>38</v>
      </c>
      <c r="F428">
        <v>8</v>
      </c>
      <c r="G428">
        <v>1150.69</v>
      </c>
      <c r="H428">
        <f t="shared" si="6"/>
        <v>9205.52</v>
      </c>
    </row>
    <row r="429" spans="1:8" hidden="1" x14ac:dyDescent="0.25">
      <c r="A429" s="1">
        <v>46450</v>
      </c>
      <c r="B429" t="s">
        <v>27</v>
      </c>
      <c r="C429" t="s">
        <v>17</v>
      </c>
      <c r="D429" t="s">
        <v>41</v>
      </c>
      <c r="E429" t="s">
        <v>49</v>
      </c>
      <c r="F429">
        <v>10</v>
      </c>
      <c r="G429">
        <v>507.05</v>
      </c>
      <c r="H429">
        <f t="shared" si="6"/>
        <v>5070.5</v>
      </c>
    </row>
    <row r="430" spans="1:8" x14ac:dyDescent="0.25">
      <c r="A430" s="1">
        <v>46451</v>
      </c>
      <c r="B430" t="s">
        <v>12</v>
      </c>
      <c r="C430" t="s">
        <v>29</v>
      </c>
      <c r="D430" t="s">
        <v>21</v>
      </c>
      <c r="E430" t="s">
        <v>54</v>
      </c>
      <c r="F430">
        <v>6</v>
      </c>
      <c r="G430">
        <v>198.47</v>
      </c>
      <c r="H430">
        <f t="shared" si="6"/>
        <v>1190.82</v>
      </c>
    </row>
    <row r="431" spans="1:8" x14ac:dyDescent="0.25">
      <c r="A431" s="1">
        <v>46452</v>
      </c>
      <c r="B431" t="s">
        <v>12</v>
      </c>
      <c r="C431" t="s">
        <v>34</v>
      </c>
      <c r="D431" t="s">
        <v>14</v>
      </c>
      <c r="E431" t="s">
        <v>47</v>
      </c>
      <c r="F431">
        <v>3</v>
      </c>
      <c r="G431">
        <v>129.84</v>
      </c>
      <c r="H431">
        <f t="shared" si="6"/>
        <v>389.52</v>
      </c>
    </row>
    <row r="432" spans="1:8" hidden="1" x14ac:dyDescent="0.25">
      <c r="A432" s="1">
        <v>46453</v>
      </c>
      <c r="B432" t="s">
        <v>27</v>
      </c>
      <c r="C432" t="s">
        <v>34</v>
      </c>
      <c r="D432" t="s">
        <v>31</v>
      </c>
      <c r="E432" t="s">
        <v>35</v>
      </c>
      <c r="F432">
        <v>7</v>
      </c>
      <c r="G432">
        <v>360.31</v>
      </c>
      <c r="H432">
        <f t="shared" si="6"/>
        <v>2522.17</v>
      </c>
    </row>
    <row r="433" spans="1:8" hidden="1" x14ac:dyDescent="0.25">
      <c r="A433" s="1">
        <v>46454</v>
      </c>
      <c r="B433" t="s">
        <v>27</v>
      </c>
      <c r="C433" t="s">
        <v>34</v>
      </c>
      <c r="D433" t="s">
        <v>43</v>
      </c>
      <c r="E433" t="s">
        <v>44</v>
      </c>
      <c r="F433">
        <v>2</v>
      </c>
      <c r="G433">
        <v>711.75</v>
      </c>
      <c r="H433">
        <f t="shared" si="6"/>
        <v>1423.5</v>
      </c>
    </row>
    <row r="434" spans="1:8" hidden="1" x14ac:dyDescent="0.25">
      <c r="A434" s="1">
        <v>46455</v>
      </c>
      <c r="B434" t="s">
        <v>19</v>
      </c>
      <c r="C434" t="s">
        <v>13</v>
      </c>
      <c r="D434" t="s">
        <v>10</v>
      </c>
      <c r="E434" t="s">
        <v>37</v>
      </c>
      <c r="F434">
        <v>10</v>
      </c>
      <c r="G434">
        <v>1268.8699999999999</v>
      </c>
      <c r="H434">
        <f t="shared" si="6"/>
        <v>12688.699999999999</v>
      </c>
    </row>
    <row r="435" spans="1:8" x14ac:dyDescent="0.25">
      <c r="A435" s="1">
        <v>46456</v>
      </c>
      <c r="B435" t="s">
        <v>12</v>
      </c>
      <c r="C435" t="s">
        <v>20</v>
      </c>
      <c r="D435" t="s">
        <v>31</v>
      </c>
      <c r="E435" t="s">
        <v>39</v>
      </c>
      <c r="F435">
        <v>6</v>
      </c>
      <c r="G435">
        <v>53.83</v>
      </c>
      <c r="H435">
        <f t="shared" si="6"/>
        <v>322.98</v>
      </c>
    </row>
    <row r="436" spans="1:8" x14ac:dyDescent="0.25">
      <c r="A436" s="1">
        <v>46457</v>
      </c>
      <c r="B436" t="s">
        <v>12</v>
      </c>
      <c r="C436" t="s">
        <v>29</v>
      </c>
      <c r="D436" t="s">
        <v>43</v>
      </c>
      <c r="E436" t="s">
        <v>50</v>
      </c>
      <c r="F436">
        <v>6</v>
      </c>
      <c r="G436">
        <v>140.22999999999999</v>
      </c>
      <c r="H436">
        <f t="shared" si="6"/>
        <v>841.37999999999988</v>
      </c>
    </row>
    <row r="437" spans="1:8" hidden="1" x14ac:dyDescent="0.25">
      <c r="A437" s="1">
        <v>46458</v>
      </c>
      <c r="B437" t="s">
        <v>27</v>
      </c>
      <c r="C437" t="s">
        <v>9</v>
      </c>
      <c r="D437" t="s">
        <v>46</v>
      </c>
      <c r="E437" t="s">
        <v>33</v>
      </c>
      <c r="F437">
        <v>3</v>
      </c>
      <c r="G437">
        <v>167.82</v>
      </c>
      <c r="H437">
        <f t="shared" si="6"/>
        <v>503.46</v>
      </c>
    </row>
    <row r="438" spans="1:8" hidden="1" x14ac:dyDescent="0.25">
      <c r="A438" s="1">
        <v>46459</v>
      </c>
      <c r="B438" t="s">
        <v>8</v>
      </c>
      <c r="C438" t="s">
        <v>9</v>
      </c>
      <c r="D438" t="s">
        <v>41</v>
      </c>
      <c r="E438" t="s">
        <v>32</v>
      </c>
      <c r="F438">
        <v>9</v>
      </c>
      <c r="G438">
        <v>235.99</v>
      </c>
      <c r="H438">
        <f t="shared" si="6"/>
        <v>2123.91</v>
      </c>
    </row>
    <row r="439" spans="1:8" hidden="1" x14ac:dyDescent="0.25">
      <c r="A439" s="1">
        <v>46460</v>
      </c>
      <c r="B439" t="s">
        <v>19</v>
      </c>
      <c r="C439" t="s">
        <v>34</v>
      </c>
      <c r="D439" t="s">
        <v>46</v>
      </c>
      <c r="E439" t="s">
        <v>55</v>
      </c>
      <c r="F439">
        <v>2</v>
      </c>
      <c r="G439">
        <v>1189.3800000000001</v>
      </c>
      <c r="H439">
        <f t="shared" si="6"/>
        <v>2378.7600000000002</v>
      </c>
    </row>
    <row r="440" spans="1:8" hidden="1" x14ac:dyDescent="0.25">
      <c r="A440" s="1">
        <v>46461</v>
      </c>
      <c r="B440" t="s">
        <v>16</v>
      </c>
      <c r="C440" t="s">
        <v>9</v>
      </c>
      <c r="D440" t="s">
        <v>31</v>
      </c>
      <c r="E440" t="s">
        <v>32</v>
      </c>
      <c r="F440">
        <v>1</v>
      </c>
      <c r="G440">
        <v>875.79</v>
      </c>
      <c r="H440">
        <f t="shared" si="6"/>
        <v>875.79</v>
      </c>
    </row>
    <row r="441" spans="1:8" hidden="1" x14ac:dyDescent="0.25">
      <c r="A441" s="1">
        <v>46462</v>
      </c>
      <c r="B441" t="s">
        <v>8</v>
      </c>
      <c r="C441" t="s">
        <v>13</v>
      </c>
      <c r="D441" t="s">
        <v>31</v>
      </c>
      <c r="E441" t="s">
        <v>40</v>
      </c>
      <c r="F441">
        <v>8</v>
      </c>
      <c r="G441">
        <v>549.83000000000004</v>
      </c>
      <c r="H441">
        <f t="shared" si="6"/>
        <v>4398.6400000000003</v>
      </c>
    </row>
    <row r="442" spans="1:8" x14ac:dyDescent="0.25">
      <c r="A442" s="1">
        <v>46463</v>
      </c>
      <c r="B442" t="s">
        <v>12</v>
      </c>
      <c r="C442" t="s">
        <v>20</v>
      </c>
      <c r="D442" t="s">
        <v>21</v>
      </c>
      <c r="E442" t="s">
        <v>39</v>
      </c>
      <c r="F442">
        <v>10</v>
      </c>
      <c r="G442">
        <v>1343.53</v>
      </c>
      <c r="H442">
        <f t="shared" si="6"/>
        <v>13435.3</v>
      </c>
    </row>
    <row r="443" spans="1:8" x14ac:dyDescent="0.25">
      <c r="A443" s="1">
        <v>46464</v>
      </c>
      <c r="B443" t="s">
        <v>12</v>
      </c>
      <c r="C443" t="s">
        <v>13</v>
      </c>
      <c r="D443" t="s">
        <v>43</v>
      </c>
      <c r="E443" t="s">
        <v>15</v>
      </c>
      <c r="F443">
        <v>3</v>
      </c>
      <c r="G443">
        <v>447.92</v>
      </c>
      <c r="H443">
        <f t="shared" si="6"/>
        <v>1343.76</v>
      </c>
    </row>
    <row r="444" spans="1:8" hidden="1" x14ac:dyDescent="0.25">
      <c r="A444" s="1">
        <v>46465</v>
      </c>
      <c r="B444" t="s">
        <v>19</v>
      </c>
      <c r="C444" t="s">
        <v>13</v>
      </c>
      <c r="D444" t="s">
        <v>31</v>
      </c>
      <c r="E444" t="s">
        <v>37</v>
      </c>
      <c r="F444">
        <v>7</v>
      </c>
      <c r="G444">
        <v>362.05</v>
      </c>
      <c r="H444">
        <f t="shared" si="6"/>
        <v>2534.35</v>
      </c>
    </row>
    <row r="445" spans="1:8" x14ac:dyDescent="0.25">
      <c r="A445" s="1">
        <v>46466</v>
      </c>
      <c r="B445" t="s">
        <v>12</v>
      </c>
      <c r="C445" t="s">
        <v>34</v>
      </c>
      <c r="D445" t="s">
        <v>46</v>
      </c>
      <c r="E445" t="s">
        <v>38</v>
      </c>
      <c r="F445">
        <v>5</v>
      </c>
      <c r="G445">
        <v>699.92</v>
      </c>
      <c r="H445">
        <f t="shared" si="6"/>
        <v>3499.6</v>
      </c>
    </row>
    <row r="446" spans="1:8" x14ac:dyDescent="0.25">
      <c r="A446" s="1">
        <v>46467</v>
      </c>
      <c r="B446" t="s">
        <v>12</v>
      </c>
      <c r="C446" t="s">
        <v>17</v>
      </c>
      <c r="D446" t="s">
        <v>41</v>
      </c>
      <c r="E446" t="s">
        <v>48</v>
      </c>
      <c r="F446">
        <v>4</v>
      </c>
      <c r="G446">
        <v>1097.94</v>
      </c>
      <c r="H446">
        <f t="shared" si="6"/>
        <v>4391.76</v>
      </c>
    </row>
    <row r="447" spans="1:8" hidden="1" x14ac:dyDescent="0.25">
      <c r="A447" s="1">
        <v>46468</v>
      </c>
      <c r="B447" t="s">
        <v>19</v>
      </c>
      <c r="C447" t="s">
        <v>9</v>
      </c>
      <c r="D447" t="s">
        <v>24</v>
      </c>
      <c r="E447" t="s">
        <v>32</v>
      </c>
      <c r="F447">
        <v>5</v>
      </c>
      <c r="G447">
        <v>1459.65</v>
      </c>
      <c r="H447">
        <f t="shared" si="6"/>
        <v>7298.25</v>
      </c>
    </row>
    <row r="448" spans="1:8" hidden="1" x14ac:dyDescent="0.25">
      <c r="A448" s="1">
        <v>46469</v>
      </c>
      <c r="B448" t="s">
        <v>19</v>
      </c>
      <c r="C448" t="s">
        <v>13</v>
      </c>
      <c r="D448" t="s">
        <v>43</v>
      </c>
      <c r="E448" t="s">
        <v>15</v>
      </c>
      <c r="F448">
        <v>6</v>
      </c>
      <c r="G448">
        <v>30.59</v>
      </c>
      <c r="H448">
        <f t="shared" si="6"/>
        <v>183.54</v>
      </c>
    </row>
    <row r="449" spans="1:8" hidden="1" x14ac:dyDescent="0.25">
      <c r="A449" s="1">
        <v>46470</v>
      </c>
      <c r="B449" t="s">
        <v>19</v>
      </c>
      <c r="C449" t="s">
        <v>34</v>
      </c>
      <c r="D449" t="s">
        <v>41</v>
      </c>
      <c r="E449" t="s">
        <v>55</v>
      </c>
      <c r="F449">
        <v>9</v>
      </c>
      <c r="G449">
        <v>1215</v>
      </c>
      <c r="H449">
        <f t="shared" si="6"/>
        <v>10935</v>
      </c>
    </row>
    <row r="450" spans="1:8" hidden="1" x14ac:dyDescent="0.25">
      <c r="A450" s="1">
        <v>46471</v>
      </c>
      <c r="B450" t="s">
        <v>19</v>
      </c>
      <c r="C450" t="s">
        <v>9</v>
      </c>
      <c r="D450" t="s">
        <v>46</v>
      </c>
      <c r="E450" t="s">
        <v>11</v>
      </c>
      <c r="F450">
        <v>7</v>
      </c>
      <c r="G450">
        <v>1274.01</v>
      </c>
      <c r="H450">
        <f t="shared" si="6"/>
        <v>8918.07</v>
      </c>
    </row>
    <row r="451" spans="1:8" x14ac:dyDescent="0.25">
      <c r="A451" s="1">
        <v>46472</v>
      </c>
      <c r="B451" t="s">
        <v>12</v>
      </c>
      <c r="C451" t="s">
        <v>20</v>
      </c>
      <c r="D451" t="s">
        <v>43</v>
      </c>
      <c r="E451" t="s">
        <v>53</v>
      </c>
      <c r="F451">
        <v>3</v>
      </c>
      <c r="G451">
        <v>368.05</v>
      </c>
      <c r="H451">
        <f t="shared" ref="H451:H501" si="7">F451*G451</f>
        <v>1104.1500000000001</v>
      </c>
    </row>
    <row r="452" spans="1:8" x14ac:dyDescent="0.25">
      <c r="A452" s="1">
        <v>46473</v>
      </c>
      <c r="B452" t="s">
        <v>12</v>
      </c>
      <c r="C452" t="s">
        <v>34</v>
      </c>
      <c r="D452" t="s">
        <v>43</v>
      </c>
      <c r="E452" t="s">
        <v>55</v>
      </c>
      <c r="F452">
        <v>10</v>
      </c>
      <c r="G452">
        <v>1292.4000000000001</v>
      </c>
      <c r="H452">
        <f t="shared" si="7"/>
        <v>12924</v>
      </c>
    </row>
    <row r="453" spans="1:8" x14ac:dyDescent="0.25">
      <c r="A453" s="1">
        <v>46474</v>
      </c>
      <c r="B453" t="s">
        <v>12</v>
      </c>
      <c r="C453" t="s">
        <v>20</v>
      </c>
      <c r="D453" t="s">
        <v>21</v>
      </c>
      <c r="E453" t="s">
        <v>39</v>
      </c>
      <c r="F453">
        <v>8</v>
      </c>
      <c r="G453">
        <v>1198.03</v>
      </c>
      <c r="H453">
        <f t="shared" si="7"/>
        <v>9584.24</v>
      </c>
    </row>
    <row r="454" spans="1:8" hidden="1" x14ac:dyDescent="0.25">
      <c r="A454" s="1">
        <v>46475</v>
      </c>
      <c r="B454" t="s">
        <v>16</v>
      </c>
      <c r="C454" t="s">
        <v>17</v>
      </c>
      <c r="D454" t="s">
        <v>14</v>
      </c>
      <c r="E454" t="s">
        <v>49</v>
      </c>
      <c r="F454">
        <v>7</v>
      </c>
      <c r="G454">
        <v>1418.05</v>
      </c>
      <c r="H454">
        <f t="shared" si="7"/>
        <v>9926.35</v>
      </c>
    </row>
    <row r="455" spans="1:8" hidden="1" x14ac:dyDescent="0.25">
      <c r="A455" s="1">
        <v>46476</v>
      </c>
      <c r="B455" t="s">
        <v>27</v>
      </c>
      <c r="C455" t="s">
        <v>34</v>
      </c>
      <c r="D455" t="s">
        <v>46</v>
      </c>
      <c r="E455" t="s">
        <v>44</v>
      </c>
      <c r="F455">
        <v>6</v>
      </c>
      <c r="G455">
        <v>1406.72</v>
      </c>
      <c r="H455">
        <f t="shared" si="7"/>
        <v>8440.32</v>
      </c>
    </row>
    <row r="456" spans="1:8" hidden="1" x14ac:dyDescent="0.25">
      <c r="A456" s="1">
        <v>46477</v>
      </c>
      <c r="B456" t="s">
        <v>16</v>
      </c>
      <c r="C456" t="s">
        <v>34</v>
      </c>
      <c r="D456" t="s">
        <v>43</v>
      </c>
      <c r="E456" t="s">
        <v>44</v>
      </c>
      <c r="F456">
        <v>7</v>
      </c>
      <c r="G456">
        <v>868.16</v>
      </c>
      <c r="H456">
        <f t="shared" si="7"/>
        <v>6077.12</v>
      </c>
    </row>
    <row r="457" spans="1:8" hidden="1" x14ac:dyDescent="0.25">
      <c r="A457" s="1">
        <v>46478</v>
      </c>
      <c r="B457" t="s">
        <v>27</v>
      </c>
      <c r="C457" t="s">
        <v>29</v>
      </c>
      <c r="D457" t="s">
        <v>14</v>
      </c>
      <c r="E457" t="s">
        <v>54</v>
      </c>
      <c r="F457">
        <v>6</v>
      </c>
      <c r="G457">
        <v>431.23</v>
      </c>
      <c r="H457">
        <f t="shared" si="7"/>
        <v>2587.38</v>
      </c>
    </row>
    <row r="458" spans="1:8" hidden="1" x14ac:dyDescent="0.25">
      <c r="A458" s="1">
        <v>46479</v>
      </c>
      <c r="B458" t="s">
        <v>16</v>
      </c>
      <c r="C458" t="s">
        <v>34</v>
      </c>
      <c r="D458" t="s">
        <v>41</v>
      </c>
      <c r="E458" t="s">
        <v>44</v>
      </c>
      <c r="F458">
        <v>8</v>
      </c>
      <c r="G458">
        <v>960.51</v>
      </c>
      <c r="H458">
        <f t="shared" si="7"/>
        <v>7684.08</v>
      </c>
    </row>
    <row r="459" spans="1:8" hidden="1" x14ac:dyDescent="0.25">
      <c r="A459" s="1">
        <v>46480</v>
      </c>
      <c r="B459" t="s">
        <v>19</v>
      </c>
      <c r="C459" t="s">
        <v>17</v>
      </c>
      <c r="D459" t="s">
        <v>14</v>
      </c>
      <c r="E459" t="s">
        <v>18</v>
      </c>
      <c r="F459">
        <v>3</v>
      </c>
      <c r="G459">
        <v>628.75</v>
      </c>
      <c r="H459">
        <f t="shared" si="7"/>
        <v>1886.25</v>
      </c>
    </row>
    <row r="460" spans="1:8" hidden="1" x14ac:dyDescent="0.25">
      <c r="A460" s="1">
        <v>46481</v>
      </c>
      <c r="B460" t="s">
        <v>19</v>
      </c>
      <c r="C460" t="s">
        <v>13</v>
      </c>
      <c r="D460" t="s">
        <v>31</v>
      </c>
      <c r="E460" t="s">
        <v>15</v>
      </c>
      <c r="F460">
        <v>8</v>
      </c>
      <c r="G460">
        <v>877.67</v>
      </c>
      <c r="H460">
        <f t="shared" si="7"/>
        <v>7021.36</v>
      </c>
    </row>
    <row r="461" spans="1:8" hidden="1" x14ac:dyDescent="0.25">
      <c r="A461" s="1">
        <v>46482</v>
      </c>
      <c r="B461" t="s">
        <v>8</v>
      </c>
      <c r="C461" t="s">
        <v>34</v>
      </c>
      <c r="D461" t="s">
        <v>21</v>
      </c>
      <c r="E461" t="s">
        <v>38</v>
      </c>
      <c r="F461">
        <v>8</v>
      </c>
      <c r="G461">
        <v>1150.47</v>
      </c>
      <c r="H461">
        <f t="shared" si="7"/>
        <v>9203.76</v>
      </c>
    </row>
    <row r="462" spans="1:8" x14ac:dyDescent="0.25">
      <c r="A462" s="1">
        <v>46483</v>
      </c>
      <c r="B462" t="s">
        <v>12</v>
      </c>
      <c r="C462" t="s">
        <v>9</v>
      </c>
      <c r="D462" t="s">
        <v>43</v>
      </c>
      <c r="E462" t="s">
        <v>32</v>
      </c>
      <c r="F462">
        <v>10</v>
      </c>
      <c r="G462">
        <v>89.08</v>
      </c>
      <c r="H462">
        <f t="shared" si="7"/>
        <v>890.8</v>
      </c>
    </row>
    <row r="463" spans="1:8" x14ac:dyDescent="0.25">
      <c r="A463" s="1">
        <v>46484</v>
      </c>
      <c r="B463" t="s">
        <v>12</v>
      </c>
      <c r="C463" t="s">
        <v>20</v>
      </c>
      <c r="D463" t="s">
        <v>46</v>
      </c>
      <c r="E463" t="s">
        <v>22</v>
      </c>
      <c r="F463">
        <v>5</v>
      </c>
      <c r="G463">
        <v>1133.77</v>
      </c>
      <c r="H463">
        <f t="shared" si="7"/>
        <v>5668.85</v>
      </c>
    </row>
    <row r="464" spans="1:8" hidden="1" x14ac:dyDescent="0.25">
      <c r="A464" s="1">
        <v>46485</v>
      </c>
      <c r="B464" t="s">
        <v>27</v>
      </c>
      <c r="C464" t="s">
        <v>9</v>
      </c>
      <c r="D464" t="s">
        <v>43</v>
      </c>
      <c r="E464" t="s">
        <v>56</v>
      </c>
      <c r="F464">
        <v>10</v>
      </c>
      <c r="G464">
        <v>1120.74</v>
      </c>
      <c r="H464">
        <f t="shared" si="7"/>
        <v>11207.4</v>
      </c>
    </row>
    <row r="465" spans="1:8" hidden="1" x14ac:dyDescent="0.25">
      <c r="A465" s="1">
        <v>46486</v>
      </c>
      <c r="B465" t="s">
        <v>27</v>
      </c>
      <c r="C465" t="s">
        <v>20</v>
      </c>
      <c r="D465" t="s">
        <v>46</v>
      </c>
      <c r="E465" t="s">
        <v>52</v>
      </c>
      <c r="F465">
        <v>8</v>
      </c>
      <c r="G465">
        <v>1048.0999999999999</v>
      </c>
      <c r="H465">
        <f t="shared" si="7"/>
        <v>8384.7999999999993</v>
      </c>
    </row>
    <row r="466" spans="1:8" hidden="1" x14ac:dyDescent="0.25">
      <c r="A466" s="1">
        <v>46487</v>
      </c>
      <c r="B466" t="s">
        <v>16</v>
      </c>
      <c r="C466" t="s">
        <v>9</v>
      </c>
      <c r="D466" t="s">
        <v>31</v>
      </c>
      <c r="E466" t="s">
        <v>56</v>
      </c>
      <c r="F466">
        <v>8</v>
      </c>
      <c r="G466">
        <v>1273.4000000000001</v>
      </c>
      <c r="H466">
        <f t="shared" si="7"/>
        <v>10187.200000000001</v>
      </c>
    </row>
    <row r="467" spans="1:8" hidden="1" x14ac:dyDescent="0.25">
      <c r="A467" s="1">
        <v>46488</v>
      </c>
      <c r="B467" t="s">
        <v>8</v>
      </c>
      <c r="C467" t="s">
        <v>17</v>
      </c>
      <c r="D467" t="s">
        <v>46</v>
      </c>
      <c r="E467" t="s">
        <v>48</v>
      </c>
      <c r="F467">
        <v>2</v>
      </c>
      <c r="G467">
        <v>1289.1099999999999</v>
      </c>
      <c r="H467">
        <f t="shared" si="7"/>
        <v>2578.2199999999998</v>
      </c>
    </row>
    <row r="468" spans="1:8" hidden="1" x14ac:dyDescent="0.25">
      <c r="A468" s="1">
        <v>46489</v>
      </c>
      <c r="B468" t="s">
        <v>27</v>
      </c>
      <c r="C468" t="s">
        <v>13</v>
      </c>
      <c r="D468" t="s">
        <v>41</v>
      </c>
      <c r="E468" t="s">
        <v>40</v>
      </c>
      <c r="F468">
        <v>6</v>
      </c>
      <c r="G468">
        <v>55.81</v>
      </c>
      <c r="H468">
        <f t="shared" si="7"/>
        <v>334.86</v>
      </c>
    </row>
    <row r="469" spans="1:8" x14ac:dyDescent="0.25">
      <c r="A469" s="1">
        <v>46490</v>
      </c>
      <c r="B469" t="s">
        <v>12</v>
      </c>
      <c r="C469" t="s">
        <v>29</v>
      </c>
      <c r="D469" t="s">
        <v>14</v>
      </c>
      <c r="E469" t="s">
        <v>50</v>
      </c>
      <c r="F469">
        <v>3</v>
      </c>
      <c r="G469">
        <v>616.96</v>
      </c>
      <c r="H469">
        <f t="shared" si="7"/>
        <v>1850.88</v>
      </c>
    </row>
    <row r="470" spans="1:8" hidden="1" x14ac:dyDescent="0.25">
      <c r="A470" s="1">
        <v>46491</v>
      </c>
      <c r="B470" t="s">
        <v>16</v>
      </c>
      <c r="C470" t="s">
        <v>13</v>
      </c>
      <c r="D470" t="s">
        <v>41</v>
      </c>
      <c r="E470" t="s">
        <v>40</v>
      </c>
      <c r="F470">
        <v>5</v>
      </c>
      <c r="G470">
        <v>750.33</v>
      </c>
      <c r="H470">
        <f t="shared" si="7"/>
        <v>3751.65</v>
      </c>
    </row>
    <row r="471" spans="1:8" hidden="1" x14ac:dyDescent="0.25">
      <c r="A471" s="1">
        <v>46492</v>
      </c>
      <c r="B471" t="s">
        <v>16</v>
      </c>
      <c r="C471" t="s">
        <v>20</v>
      </c>
      <c r="D471" t="s">
        <v>43</v>
      </c>
      <c r="E471" t="s">
        <v>28</v>
      </c>
      <c r="F471">
        <v>6</v>
      </c>
      <c r="G471">
        <v>1069.9100000000001</v>
      </c>
      <c r="H471">
        <f t="shared" si="7"/>
        <v>6419.4600000000009</v>
      </c>
    </row>
    <row r="472" spans="1:8" hidden="1" x14ac:dyDescent="0.25">
      <c r="A472" s="1">
        <v>46493</v>
      </c>
      <c r="B472" t="s">
        <v>27</v>
      </c>
      <c r="C472" t="s">
        <v>17</v>
      </c>
      <c r="D472" t="s">
        <v>10</v>
      </c>
      <c r="E472" t="s">
        <v>26</v>
      </c>
      <c r="F472">
        <v>9</v>
      </c>
      <c r="G472">
        <v>1150.4000000000001</v>
      </c>
      <c r="H472">
        <f t="shared" si="7"/>
        <v>10353.6</v>
      </c>
    </row>
    <row r="473" spans="1:8" hidden="1" x14ac:dyDescent="0.25">
      <c r="A473" s="1">
        <v>46494</v>
      </c>
      <c r="B473" t="s">
        <v>8</v>
      </c>
      <c r="C473" t="s">
        <v>20</v>
      </c>
      <c r="D473" t="s">
        <v>41</v>
      </c>
      <c r="E473" t="s">
        <v>52</v>
      </c>
      <c r="F473">
        <v>4</v>
      </c>
      <c r="G473">
        <v>444.04</v>
      </c>
      <c r="H473">
        <f t="shared" si="7"/>
        <v>1776.16</v>
      </c>
    </row>
    <row r="474" spans="1:8" hidden="1" x14ac:dyDescent="0.25">
      <c r="A474" s="1">
        <v>46495</v>
      </c>
      <c r="B474" t="s">
        <v>16</v>
      </c>
      <c r="C474" t="s">
        <v>17</v>
      </c>
      <c r="D474" t="s">
        <v>24</v>
      </c>
      <c r="E474" t="s">
        <v>48</v>
      </c>
      <c r="F474">
        <v>9</v>
      </c>
      <c r="G474">
        <v>417.95</v>
      </c>
      <c r="H474">
        <f t="shared" si="7"/>
        <v>3761.5499999999997</v>
      </c>
    </row>
    <row r="475" spans="1:8" x14ac:dyDescent="0.25">
      <c r="A475" s="1">
        <v>46496</v>
      </c>
      <c r="B475" t="s">
        <v>12</v>
      </c>
      <c r="C475" t="s">
        <v>20</v>
      </c>
      <c r="D475" t="s">
        <v>24</v>
      </c>
      <c r="E475" t="s">
        <v>22</v>
      </c>
      <c r="F475">
        <v>8</v>
      </c>
      <c r="G475">
        <v>547.96</v>
      </c>
      <c r="H475">
        <f t="shared" si="7"/>
        <v>4383.68</v>
      </c>
    </row>
    <row r="476" spans="1:8" x14ac:dyDescent="0.25">
      <c r="A476" s="1">
        <v>46497</v>
      </c>
      <c r="B476" t="s">
        <v>12</v>
      </c>
      <c r="C476" t="s">
        <v>17</v>
      </c>
      <c r="D476" t="s">
        <v>10</v>
      </c>
      <c r="E476" t="s">
        <v>18</v>
      </c>
      <c r="F476">
        <v>6</v>
      </c>
      <c r="G476">
        <v>729.6</v>
      </c>
      <c r="H476">
        <f t="shared" si="7"/>
        <v>4377.6000000000004</v>
      </c>
    </row>
    <row r="477" spans="1:8" hidden="1" x14ac:dyDescent="0.25">
      <c r="A477" s="1">
        <v>46498</v>
      </c>
      <c r="B477" t="s">
        <v>27</v>
      </c>
      <c r="C477" t="s">
        <v>17</v>
      </c>
      <c r="D477" t="s">
        <v>41</v>
      </c>
      <c r="E477" t="s">
        <v>26</v>
      </c>
      <c r="F477">
        <v>4</v>
      </c>
      <c r="G477">
        <v>221.62</v>
      </c>
      <c r="H477">
        <f t="shared" si="7"/>
        <v>886.48</v>
      </c>
    </row>
    <row r="478" spans="1:8" hidden="1" x14ac:dyDescent="0.25">
      <c r="A478" s="1">
        <v>46499</v>
      </c>
      <c r="B478" t="s">
        <v>16</v>
      </c>
      <c r="C478" t="s">
        <v>34</v>
      </c>
      <c r="D478" t="s">
        <v>24</v>
      </c>
      <c r="E478" t="s">
        <v>44</v>
      </c>
      <c r="F478">
        <v>3</v>
      </c>
      <c r="G478">
        <v>1322.34</v>
      </c>
      <c r="H478">
        <f t="shared" si="7"/>
        <v>3967.0199999999995</v>
      </c>
    </row>
    <row r="479" spans="1:8" hidden="1" x14ac:dyDescent="0.25">
      <c r="A479" s="1">
        <v>46500</v>
      </c>
      <c r="B479" t="s">
        <v>8</v>
      </c>
      <c r="C479" t="s">
        <v>17</v>
      </c>
      <c r="D479" t="s">
        <v>21</v>
      </c>
      <c r="E479" t="s">
        <v>25</v>
      </c>
      <c r="F479">
        <v>3</v>
      </c>
      <c r="G479">
        <v>341.68</v>
      </c>
      <c r="H479">
        <f t="shared" si="7"/>
        <v>1025.04</v>
      </c>
    </row>
    <row r="480" spans="1:8" hidden="1" x14ac:dyDescent="0.25">
      <c r="A480" s="1">
        <v>46501</v>
      </c>
      <c r="B480" t="s">
        <v>19</v>
      </c>
      <c r="C480" t="s">
        <v>17</v>
      </c>
      <c r="D480" t="s">
        <v>14</v>
      </c>
      <c r="E480" t="s">
        <v>25</v>
      </c>
      <c r="F480">
        <v>6</v>
      </c>
      <c r="G480">
        <v>55.71</v>
      </c>
      <c r="H480">
        <f t="shared" si="7"/>
        <v>334.26</v>
      </c>
    </row>
    <row r="481" spans="1:8" hidden="1" x14ac:dyDescent="0.25">
      <c r="A481" s="1">
        <v>46502</v>
      </c>
      <c r="B481" t="s">
        <v>19</v>
      </c>
      <c r="C481" t="s">
        <v>20</v>
      </c>
      <c r="D481" t="s">
        <v>14</v>
      </c>
      <c r="E481" t="s">
        <v>22</v>
      </c>
      <c r="F481">
        <v>7</v>
      </c>
      <c r="G481">
        <v>765.96</v>
      </c>
      <c r="H481">
        <f t="shared" si="7"/>
        <v>5361.72</v>
      </c>
    </row>
    <row r="482" spans="1:8" hidden="1" x14ac:dyDescent="0.25">
      <c r="A482" s="1">
        <v>46503</v>
      </c>
      <c r="B482" t="s">
        <v>27</v>
      </c>
      <c r="C482" t="s">
        <v>13</v>
      </c>
      <c r="D482" t="s">
        <v>31</v>
      </c>
      <c r="E482" t="s">
        <v>51</v>
      </c>
      <c r="F482">
        <v>6</v>
      </c>
      <c r="G482">
        <v>318.91000000000003</v>
      </c>
      <c r="H482">
        <f t="shared" si="7"/>
        <v>1913.46</v>
      </c>
    </row>
    <row r="483" spans="1:8" hidden="1" x14ac:dyDescent="0.25">
      <c r="A483" s="1">
        <v>46504</v>
      </c>
      <c r="B483" t="s">
        <v>8</v>
      </c>
      <c r="C483" t="s">
        <v>13</v>
      </c>
      <c r="D483" t="s">
        <v>14</v>
      </c>
      <c r="E483" t="s">
        <v>37</v>
      </c>
      <c r="F483">
        <v>7</v>
      </c>
      <c r="G483">
        <v>508.8</v>
      </c>
      <c r="H483">
        <f t="shared" si="7"/>
        <v>3561.6</v>
      </c>
    </row>
    <row r="484" spans="1:8" hidden="1" x14ac:dyDescent="0.25">
      <c r="A484" s="1">
        <v>46505</v>
      </c>
      <c r="B484" t="s">
        <v>19</v>
      </c>
      <c r="C484" t="s">
        <v>13</v>
      </c>
      <c r="D484" t="s">
        <v>31</v>
      </c>
      <c r="E484" t="s">
        <v>37</v>
      </c>
      <c r="F484">
        <v>10</v>
      </c>
      <c r="G484">
        <v>245.84</v>
      </c>
      <c r="H484">
        <f t="shared" si="7"/>
        <v>2458.4</v>
      </c>
    </row>
    <row r="485" spans="1:8" x14ac:dyDescent="0.25">
      <c r="A485" s="1">
        <v>46506</v>
      </c>
      <c r="B485" t="s">
        <v>12</v>
      </c>
      <c r="C485" t="s">
        <v>13</v>
      </c>
      <c r="D485" t="s">
        <v>46</v>
      </c>
      <c r="E485" t="s">
        <v>40</v>
      </c>
      <c r="F485">
        <v>2</v>
      </c>
      <c r="G485">
        <v>361.57</v>
      </c>
      <c r="H485">
        <f t="shared" si="7"/>
        <v>723.14</v>
      </c>
    </row>
    <row r="486" spans="1:8" hidden="1" x14ac:dyDescent="0.25">
      <c r="A486" s="1">
        <v>46507</v>
      </c>
      <c r="B486" t="s">
        <v>8</v>
      </c>
      <c r="C486" t="s">
        <v>13</v>
      </c>
      <c r="D486" t="s">
        <v>10</v>
      </c>
      <c r="E486" t="s">
        <v>51</v>
      </c>
      <c r="F486">
        <v>1</v>
      </c>
      <c r="G486">
        <v>1251.02</v>
      </c>
      <c r="H486">
        <f t="shared" si="7"/>
        <v>1251.02</v>
      </c>
    </row>
    <row r="487" spans="1:8" x14ac:dyDescent="0.25">
      <c r="A487" s="1">
        <v>46508</v>
      </c>
      <c r="B487" t="s">
        <v>12</v>
      </c>
      <c r="C487" t="s">
        <v>29</v>
      </c>
      <c r="D487" t="s">
        <v>24</v>
      </c>
      <c r="E487" t="s">
        <v>45</v>
      </c>
      <c r="F487">
        <v>10</v>
      </c>
      <c r="G487">
        <v>695.11</v>
      </c>
      <c r="H487">
        <f t="shared" si="7"/>
        <v>6951.1</v>
      </c>
    </row>
    <row r="488" spans="1:8" hidden="1" x14ac:dyDescent="0.25">
      <c r="A488" s="1">
        <v>46509</v>
      </c>
      <c r="B488" t="s">
        <v>16</v>
      </c>
      <c r="C488" t="s">
        <v>29</v>
      </c>
      <c r="D488" t="s">
        <v>41</v>
      </c>
      <c r="E488" t="s">
        <v>45</v>
      </c>
      <c r="F488">
        <v>5</v>
      </c>
      <c r="G488">
        <v>808.19</v>
      </c>
      <c r="H488">
        <f t="shared" si="7"/>
        <v>4040.9500000000003</v>
      </c>
    </row>
    <row r="489" spans="1:8" hidden="1" x14ac:dyDescent="0.25">
      <c r="A489" s="1">
        <v>46510</v>
      </c>
      <c r="B489" t="s">
        <v>8</v>
      </c>
      <c r="C489" t="s">
        <v>29</v>
      </c>
      <c r="D489" t="s">
        <v>31</v>
      </c>
      <c r="E489" t="s">
        <v>45</v>
      </c>
      <c r="F489">
        <v>8</v>
      </c>
      <c r="G489">
        <v>711.72</v>
      </c>
      <c r="H489">
        <f t="shared" si="7"/>
        <v>5693.76</v>
      </c>
    </row>
    <row r="490" spans="1:8" hidden="1" x14ac:dyDescent="0.25">
      <c r="A490" s="1">
        <v>46511</v>
      </c>
      <c r="B490" t="s">
        <v>19</v>
      </c>
      <c r="C490" t="s">
        <v>20</v>
      </c>
      <c r="D490" t="s">
        <v>10</v>
      </c>
      <c r="E490" t="s">
        <v>52</v>
      </c>
      <c r="F490">
        <v>4</v>
      </c>
      <c r="G490">
        <v>347.56</v>
      </c>
      <c r="H490">
        <f t="shared" si="7"/>
        <v>1390.24</v>
      </c>
    </row>
    <row r="491" spans="1:8" hidden="1" x14ac:dyDescent="0.25">
      <c r="A491" s="1">
        <v>46512</v>
      </c>
      <c r="B491" t="s">
        <v>16</v>
      </c>
      <c r="C491" t="s">
        <v>34</v>
      </c>
      <c r="D491" t="s">
        <v>41</v>
      </c>
      <c r="E491" t="s">
        <v>35</v>
      </c>
      <c r="F491">
        <v>8</v>
      </c>
      <c r="G491">
        <v>1441.32</v>
      </c>
      <c r="H491">
        <f t="shared" si="7"/>
        <v>11530.56</v>
      </c>
    </row>
    <row r="492" spans="1:8" hidden="1" x14ac:dyDescent="0.25">
      <c r="A492" s="1">
        <v>46513</v>
      </c>
      <c r="B492" t="s">
        <v>16</v>
      </c>
      <c r="C492" t="s">
        <v>17</v>
      </c>
      <c r="D492" t="s">
        <v>43</v>
      </c>
      <c r="E492" t="s">
        <v>49</v>
      </c>
      <c r="F492">
        <v>2</v>
      </c>
      <c r="G492">
        <v>1411.35</v>
      </c>
      <c r="H492">
        <f t="shared" si="7"/>
        <v>2822.7</v>
      </c>
    </row>
    <row r="493" spans="1:8" hidden="1" x14ac:dyDescent="0.25">
      <c r="A493" s="1">
        <v>46514</v>
      </c>
      <c r="B493" t="s">
        <v>19</v>
      </c>
      <c r="C493" t="s">
        <v>17</v>
      </c>
      <c r="D493" t="s">
        <v>10</v>
      </c>
      <c r="E493" t="s">
        <v>25</v>
      </c>
      <c r="F493">
        <v>6</v>
      </c>
      <c r="G493">
        <v>1021.01</v>
      </c>
      <c r="H493">
        <f t="shared" si="7"/>
        <v>6126.0599999999995</v>
      </c>
    </row>
    <row r="494" spans="1:8" hidden="1" x14ac:dyDescent="0.25">
      <c r="A494" s="1">
        <v>46515</v>
      </c>
      <c r="B494" t="s">
        <v>8</v>
      </c>
      <c r="C494" t="s">
        <v>20</v>
      </c>
      <c r="D494" t="s">
        <v>21</v>
      </c>
      <c r="E494" t="s">
        <v>22</v>
      </c>
      <c r="F494">
        <v>7</v>
      </c>
      <c r="G494">
        <v>136.88999999999999</v>
      </c>
      <c r="H494">
        <f t="shared" si="7"/>
        <v>958.2299999999999</v>
      </c>
    </row>
    <row r="495" spans="1:8" hidden="1" x14ac:dyDescent="0.25">
      <c r="A495" s="1">
        <v>46516</v>
      </c>
      <c r="B495" t="s">
        <v>19</v>
      </c>
      <c r="C495" t="s">
        <v>9</v>
      </c>
      <c r="D495" t="s">
        <v>14</v>
      </c>
      <c r="E495" t="s">
        <v>11</v>
      </c>
      <c r="F495">
        <v>10</v>
      </c>
      <c r="G495">
        <v>1044.81</v>
      </c>
      <c r="H495">
        <f t="shared" si="7"/>
        <v>10448.099999999999</v>
      </c>
    </row>
    <row r="496" spans="1:8" x14ac:dyDescent="0.25">
      <c r="A496" s="1">
        <v>46517</v>
      </c>
      <c r="B496" t="s">
        <v>12</v>
      </c>
      <c r="C496" t="s">
        <v>17</v>
      </c>
      <c r="D496" t="s">
        <v>10</v>
      </c>
      <c r="E496" t="s">
        <v>48</v>
      </c>
      <c r="F496">
        <v>8</v>
      </c>
      <c r="G496">
        <v>82.38</v>
      </c>
      <c r="H496">
        <f t="shared" si="7"/>
        <v>659.04</v>
      </c>
    </row>
    <row r="497" spans="1:8" hidden="1" x14ac:dyDescent="0.25">
      <c r="A497" s="1">
        <v>46518</v>
      </c>
      <c r="B497" t="s">
        <v>8</v>
      </c>
      <c r="C497" t="s">
        <v>20</v>
      </c>
      <c r="D497" t="s">
        <v>10</v>
      </c>
      <c r="E497" t="s">
        <v>28</v>
      </c>
      <c r="F497">
        <v>9</v>
      </c>
      <c r="G497">
        <v>1154.3499999999999</v>
      </c>
      <c r="H497">
        <f t="shared" si="7"/>
        <v>10389.15</v>
      </c>
    </row>
    <row r="498" spans="1:8" x14ac:dyDescent="0.25">
      <c r="A498" s="1">
        <v>46519</v>
      </c>
      <c r="B498" t="s">
        <v>12</v>
      </c>
      <c r="C498" t="s">
        <v>9</v>
      </c>
      <c r="D498" t="s">
        <v>24</v>
      </c>
      <c r="E498" t="s">
        <v>33</v>
      </c>
      <c r="F498">
        <v>10</v>
      </c>
      <c r="G498">
        <v>482.63</v>
      </c>
      <c r="H498">
        <f t="shared" si="7"/>
        <v>4826.3</v>
      </c>
    </row>
    <row r="499" spans="1:8" hidden="1" x14ac:dyDescent="0.25">
      <c r="A499" s="1">
        <v>46520</v>
      </c>
      <c r="B499" t="s">
        <v>16</v>
      </c>
      <c r="C499" t="s">
        <v>17</v>
      </c>
      <c r="D499" t="s">
        <v>14</v>
      </c>
      <c r="E499" t="s">
        <v>49</v>
      </c>
      <c r="F499">
        <v>4</v>
      </c>
      <c r="G499">
        <v>541.64</v>
      </c>
      <c r="H499">
        <f t="shared" si="7"/>
        <v>2166.56</v>
      </c>
    </row>
    <row r="500" spans="1:8" hidden="1" x14ac:dyDescent="0.25">
      <c r="A500" s="1">
        <v>46521</v>
      </c>
      <c r="B500" t="s">
        <v>19</v>
      </c>
      <c r="C500" t="s">
        <v>9</v>
      </c>
      <c r="D500" t="s">
        <v>41</v>
      </c>
      <c r="E500" t="s">
        <v>32</v>
      </c>
      <c r="F500">
        <v>3</v>
      </c>
      <c r="G500">
        <v>1388.01</v>
      </c>
      <c r="H500">
        <f t="shared" si="7"/>
        <v>4164.03</v>
      </c>
    </row>
    <row r="501" spans="1:8" hidden="1" x14ac:dyDescent="0.25">
      <c r="A501" s="1">
        <v>46522</v>
      </c>
      <c r="B501" t="s">
        <v>19</v>
      </c>
      <c r="C501" t="s">
        <v>17</v>
      </c>
      <c r="D501" t="s">
        <v>46</v>
      </c>
      <c r="E501" t="s">
        <v>26</v>
      </c>
      <c r="F501">
        <v>4</v>
      </c>
      <c r="G501">
        <v>318.24</v>
      </c>
      <c r="H501">
        <f t="shared" si="7"/>
        <v>1272.96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analisis</vt:lpstr>
      <vt:lpstr>DB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DAYANNA CATHERINNE ROCCA CORTEZ</dc:creator>
  <cp:lastModifiedBy>ALUMNO - DAYANNA CATHERINNE ROCCA CORTEZ</cp:lastModifiedBy>
  <dcterms:created xsi:type="dcterms:W3CDTF">2026-02-23T21:56:06Z</dcterms:created>
  <dcterms:modified xsi:type="dcterms:W3CDTF">2026-02-27T23:39:09Z</dcterms:modified>
</cp:coreProperties>
</file>